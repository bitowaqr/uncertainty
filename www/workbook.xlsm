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aqr/Desktop/triangulate stats course/app/www/"/>
    </mc:Choice>
  </mc:AlternateContent>
  <xr:revisionPtr revIDLastSave="0" documentId="13_ncr:1_{2BBCD532-4305-1A44-9CC2-EB70764849DD}" xr6:coauthVersionLast="46" xr6:coauthVersionMax="46" xr10:uidLastSave="{00000000-0000-0000-0000-000000000000}"/>
  <bookViews>
    <workbookView xWindow="-38640" yWindow="2600" windowWidth="38400" windowHeight="21140" xr2:uid="{B2B00D47-F1A7-5D42-A546-DA3439A5E4A6}"/>
  </bookViews>
  <sheets>
    <sheet name="Sampling Tutorial" sheetId="4" r:id="rId1"/>
    <sheet name="DecisionTree" sheetId="2" r:id="rId2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8" i="2" l="1"/>
  <c r="F257" i="2"/>
  <c r="F256" i="2"/>
  <c r="F255" i="2"/>
  <c r="F254" i="2"/>
  <c r="F253" i="2"/>
  <c r="F252" i="2"/>
  <c r="F251" i="2"/>
  <c r="F13" i="2"/>
  <c r="G29" i="2" s="1"/>
  <c r="G33" i="2" s="1"/>
  <c r="F12" i="2"/>
  <c r="G18" i="2" s="1"/>
  <c r="F9" i="2"/>
  <c r="F8" i="2"/>
  <c r="F11" i="2"/>
  <c r="F10" i="2"/>
  <c r="F7" i="2"/>
  <c r="F6" i="2"/>
  <c r="F208" i="2"/>
  <c r="F207" i="2"/>
  <c r="F206" i="2"/>
  <c r="F205" i="2"/>
  <c r="F204" i="2"/>
  <c r="F203" i="2"/>
  <c r="F202" i="2"/>
  <c r="F201" i="2"/>
  <c r="L10" i="4"/>
  <c r="G19" i="4"/>
  <c r="H19" i="4" s="1"/>
  <c r="G18" i="4"/>
  <c r="H18" i="4" s="1"/>
  <c r="G17" i="4"/>
  <c r="H17" i="4" s="1"/>
  <c r="G16" i="4"/>
  <c r="H16" i="4" s="1"/>
  <c r="G15" i="4"/>
  <c r="H15" i="4" s="1"/>
  <c r="G14" i="4"/>
  <c r="H14" i="4" s="1"/>
  <c r="G13" i="4"/>
  <c r="H13" i="4" s="1"/>
  <c r="G12" i="4"/>
  <c r="H12" i="4" s="1"/>
  <c r="G11" i="4"/>
  <c r="H11" i="4" s="1"/>
  <c r="G10" i="4"/>
  <c r="H10" i="4" s="1"/>
  <c r="V107" i="2"/>
  <c r="U107" i="2"/>
  <c r="V106" i="2"/>
  <c r="U106" i="2"/>
  <c r="V105" i="2"/>
  <c r="U105" i="2"/>
  <c r="V104" i="2"/>
  <c r="U104" i="2"/>
  <c r="V103" i="2"/>
  <c r="U103" i="2"/>
  <c r="V102" i="2"/>
  <c r="U102" i="2"/>
  <c r="V101" i="2"/>
  <c r="U101" i="2"/>
  <c r="V100" i="2"/>
  <c r="U100" i="2"/>
  <c r="V99" i="2"/>
  <c r="U99" i="2"/>
  <c r="V98" i="2"/>
  <c r="U98" i="2"/>
  <c r="V97" i="2"/>
  <c r="U97" i="2"/>
  <c r="V96" i="2"/>
  <c r="U96" i="2"/>
  <c r="V95" i="2"/>
  <c r="U95" i="2"/>
  <c r="V94" i="2"/>
  <c r="U94" i="2"/>
  <c r="V93" i="2"/>
  <c r="U93" i="2"/>
  <c r="V92" i="2"/>
  <c r="U92" i="2"/>
  <c r="V91" i="2"/>
  <c r="U91" i="2"/>
  <c r="V90" i="2"/>
  <c r="U90" i="2"/>
  <c r="V89" i="2"/>
  <c r="U89" i="2"/>
  <c r="V88" i="2"/>
  <c r="U88" i="2"/>
  <c r="V87" i="2"/>
  <c r="U87" i="2"/>
  <c r="V86" i="2"/>
  <c r="U86" i="2"/>
  <c r="V85" i="2"/>
  <c r="U85" i="2"/>
  <c r="V84" i="2"/>
  <c r="U84" i="2"/>
  <c r="V83" i="2"/>
  <c r="U83" i="2"/>
  <c r="V82" i="2"/>
  <c r="U82" i="2"/>
  <c r="V81" i="2"/>
  <c r="U81" i="2"/>
  <c r="V80" i="2"/>
  <c r="U80" i="2"/>
  <c r="V79" i="2"/>
  <c r="U79" i="2"/>
  <c r="V78" i="2"/>
  <c r="U78" i="2"/>
  <c r="V77" i="2"/>
  <c r="U77" i="2"/>
  <c r="V76" i="2"/>
  <c r="U76" i="2"/>
  <c r="V75" i="2"/>
  <c r="U75" i="2"/>
  <c r="V74" i="2"/>
  <c r="U74" i="2"/>
  <c r="V73" i="2"/>
  <c r="U73" i="2"/>
  <c r="V72" i="2"/>
  <c r="U72" i="2"/>
  <c r="V71" i="2"/>
  <c r="U71" i="2"/>
  <c r="V70" i="2"/>
  <c r="U70" i="2"/>
  <c r="V69" i="2"/>
  <c r="U69" i="2"/>
  <c r="V68" i="2"/>
  <c r="U68" i="2"/>
  <c r="V67" i="2"/>
  <c r="U67" i="2"/>
  <c r="V66" i="2"/>
  <c r="U66" i="2"/>
  <c r="V65" i="2"/>
  <c r="U65" i="2"/>
  <c r="V64" i="2"/>
  <c r="U64" i="2"/>
  <c r="V63" i="2"/>
  <c r="U63" i="2"/>
  <c r="V62" i="2"/>
  <c r="U62" i="2"/>
  <c r="V61" i="2"/>
  <c r="U61" i="2"/>
  <c r="V60" i="2"/>
  <c r="U60" i="2"/>
  <c r="V59" i="2"/>
  <c r="U59" i="2"/>
  <c r="V58" i="2"/>
  <c r="U58" i="2"/>
  <c r="V57" i="2"/>
  <c r="U57" i="2"/>
  <c r="V56" i="2"/>
  <c r="U56" i="2"/>
  <c r="V55" i="2"/>
  <c r="U55" i="2"/>
  <c r="V54" i="2"/>
  <c r="U54" i="2"/>
  <c r="V53" i="2"/>
  <c r="U53" i="2"/>
  <c r="V52" i="2"/>
  <c r="U52" i="2"/>
  <c r="V51" i="2"/>
  <c r="U51" i="2"/>
  <c r="V50" i="2"/>
  <c r="U50" i="2"/>
  <c r="V49" i="2"/>
  <c r="U49" i="2"/>
  <c r="V48" i="2"/>
  <c r="U48" i="2"/>
  <c r="V47" i="2"/>
  <c r="U47" i="2"/>
  <c r="V46" i="2"/>
  <c r="U46" i="2"/>
  <c r="V45" i="2"/>
  <c r="U45" i="2"/>
  <c r="V44" i="2"/>
  <c r="U44" i="2"/>
  <c r="V43" i="2"/>
  <c r="U43" i="2"/>
  <c r="V42" i="2"/>
  <c r="U42" i="2"/>
  <c r="V41" i="2"/>
  <c r="U41" i="2"/>
  <c r="V40" i="2"/>
  <c r="U40" i="2"/>
  <c r="V39" i="2"/>
  <c r="U39" i="2"/>
  <c r="V38" i="2"/>
  <c r="U38" i="2"/>
  <c r="V37" i="2"/>
  <c r="U37" i="2"/>
  <c r="V36" i="2"/>
  <c r="U36" i="2"/>
  <c r="V35" i="2"/>
  <c r="U35" i="2"/>
  <c r="V34" i="2"/>
  <c r="U34" i="2"/>
  <c r="V33" i="2"/>
  <c r="U33" i="2"/>
  <c r="V32" i="2"/>
  <c r="U32" i="2"/>
  <c r="V31" i="2"/>
  <c r="U31" i="2"/>
  <c r="V30" i="2"/>
  <c r="U30" i="2"/>
  <c r="V29" i="2"/>
  <c r="U29" i="2"/>
  <c r="V28" i="2"/>
  <c r="U28" i="2"/>
  <c r="V27" i="2"/>
  <c r="U27" i="2"/>
  <c r="V26" i="2"/>
  <c r="U26" i="2"/>
  <c r="V25" i="2"/>
  <c r="U25" i="2"/>
  <c r="V24" i="2"/>
  <c r="U24" i="2"/>
  <c r="V23" i="2"/>
  <c r="U23" i="2"/>
  <c r="V22" i="2"/>
  <c r="U22" i="2"/>
  <c r="V21" i="2"/>
  <c r="U21" i="2"/>
  <c r="V20" i="2"/>
  <c r="U20" i="2"/>
  <c r="V19" i="2"/>
  <c r="U19" i="2"/>
  <c r="V18" i="2"/>
  <c r="U18" i="2"/>
  <c r="V17" i="2"/>
  <c r="U17" i="2"/>
  <c r="V16" i="2"/>
  <c r="U16" i="2"/>
  <c r="V15" i="2"/>
  <c r="U15" i="2"/>
  <c r="V14" i="2"/>
  <c r="U14" i="2"/>
  <c r="V13" i="2"/>
  <c r="U13" i="2"/>
  <c r="V12" i="2"/>
  <c r="U12" i="2"/>
  <c r="V11" i="2"/>
  <c r="U11" i="2"/>
  <c r="V10" i="2"/>
  <c r="U10" i="2"/>
  <c r="V9" i="2"/>
  <c r="U9" i="2"/>
  <c r="V8" i="2"/>
  <c r="U8" i="2"/>
  <c r="T7" i="2"/>
  <c r="R7" i="2"/>
  <c r="S7" i="2"/>
  <c r="Q7" i="2"/>
  <c r="L24" i="2"/>
  <c r="L28" i="2"/>
  <c r="Q3" i="2" l="1"/>
  <c r="K17" i="2"/>
  <c r="U7" i="2"/>
  <c r="K35" i="2"/>
  <c r="V7" i="2"/>
  <c r="S4" i="2"/>
  <c r="S3" i="2"/>
  <c r="Q4" i="2"/>
  <c r="L17" i="2"/>
  <c r="L35" i="2"/>
  <c r="K24" i="2"/>
  <c r="K28" i="2"/>
  <c r="G22" i="2"/>
  <c r="N31" i="2"/>
  <c r="N20" i="2" l="1"/>
  <c r="U3" i="2"/>
  <c r="M31" i="2"/>
  <c r="U4" i="2"/>
  <c r="M20" i="2"/>
</calcChain>
</file>

<file path=xl/sharedStrings.xml><?xml version="1.0" encoding="utf-8"?>
<sst xmlns="http://schemas.openxmlformats.org/spreadsheetml/2006/main" count="134" uniqueCount="68">
  <si>
    <t>beta</t>
  </si>
  <si>
    <t>Costs</t>
  </si>
  <si>
    <t>QALYs</t>
  </si>
  <si>
    <t>Parameters</t>
  </si>
  <si>
    <t>distribution</t>
  </si>
  <si>
    <t>gamma</t>
  </si>
  <si>
    <t>Fixed</t>
  </si>
  <si>
    <t>Value</t>
  </si>
  <si>
    <t>Param 2</t>
  </si>
  <si>
    <t>Param 1</t>
  </si>
  <si>
    <t>QALYs progression</t>
  </si>
  <si>
    <t>QALYs cure</t>
  </si>
  <si>
    <t>Costs cure</t>
  </si>
  <si>
    <t>Costs progression</t>
  </si>
  <si>
    <t>Supimab</t>
  </si>
  <si>
    <t>Dupimab</t>
  </si>
  <si>
    <t>Costs Supimab</t>
  </si>
  <si>
    <t>Costs Dupimab</t>
  </si>
  <si>
    <t>p(success) Supimab</t>
  </si>
  <si>
    <t>p(success) Dupimab</t>
  </si>
  <si>
    <t>Total QALYs</t>
  </si>
  <si>
    <t>Total costs</t>
  </si>
  <si>
    <t>Mean</t>
  </si>
  <si>
    <t>NMB @ 20k</t>
  </si>
  <si>
    <t>Cost/QALY</t>
  </si>
  <si>
    <t>fixed</t>
  </si>
  <si>
    <t>Supi-Dupi-Model</t>
  </si>
  <si>
    <t>Dubimab</t>
  </si>
  <si>
    <t>Increments (Supimab-Dubimab)</t>
  </si>
  <si>
    <t>Normal</t>
  </si>
  <si>
    <t>Norm.Inv(probability, mean, standard_dev)</t>
  </si>
  <si>
    <t>Beta</t>
  </si>
  <si>
    <t>Gamma</t>
  </si>
  <si>
    <t>Gamma.Inv(probability, alpha, beta)</t>
  </si>
  <si>
    <t>Lognormal</t>
  </si>
  <si>
    <t>LogNorm.Inv(probability, mean, standard_dev)</t>
  </si>
  <si>
    <t>Excel's built-in probability distributions</t>
  </si>
  <si>
    <t>Distribution</t>
  </si>
  <si>
    <t>Exponential</t>
  </si>
  <si>
    <t>METHOD I</t>
  </si>
  <si>
    <t>RAND()</t>
  </si>
  <si>
    <t>Gamma.Inv(probability, 1, 1/rate)</t>
  </si>
  <si>
    <t>Norm.Inv(RAND(), 1.5, 0.2)</t>
  </si>
  <si>
    <t>Beta.Inv(RAND(), 5, 1)</t>
  </si>
  <si>
    <t>Beta.Inv(probability, alpha, beta)</t>
  </si>
  <si>
    <t>Gamma.Inv(RAND(), 10, 500)</t>
  </si>
  <si>
    <t>LOGNORM.INV(RAND(), LOG(1.5),0.2)</t>
  </si>
  <si>
    <t>Gamma.Inv(RAND(), 1, 1/0.05)</t>
  </si>
  <si>
    <t>STEP 2: create a column with RAND() values</t>
  </si>
  <si>
    <t>STEP 3: parse random values, mean, sd to NORM.INV function</t>
  </si>
  <si>
    <t>Mean + SD</t>
  </si>
  <si>
    <t>METHOD II</t>
  </si>
  <si>
    <t>FUN(G10, $F$10, $G$11)</t>
  </si>
  <si>
    <t>STEP 1: set parameters, inside the function or in a column</t>
  </si>
  <si>
    <t>STEP 1: set parameters inside column</t>
  </si>
  <si>
    <t>STEP 2: parse random value, mean, sd to NORM.INV function</t>
  </si>
  <si>
    <t>STEP 3: Create Makro to repetitively copy+paste results</t>
  </si>
  <si>
    <t>FUN(RAND(), G, H)</t>
  </si>
  <si>
    <t>Makro results</t>
  </si>
  <si>
    <t>Cure</t>
  </si>
  <si>
    <t>Progression</t>
  </si>
  <si>
    <t>PSA RESULTS</t>
  </si>
  <si>
    <t>SOLUTION</t>
  </si>
  <si>
    <t>Function</t>
  </si>
  <si>
    <t>Example</t>
  </si>
  <si>
    <t>TASK</t>
  </si>
  <si>
    <t>Uniform (0-1)</t>
  </si>
  <si>
    <t>NOTE: Press F9 to Resample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</si>
</sst>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0"/>
    <numFmt numFmtId="165" formatCode="_-&quot;£&quot;* #,##0_-;\-&quot;£&quot;* #,##0_-;_-&quot;£&quot;* &quot;-&quot;??_-;_-@_-"/>
    <numFmt numFmtId="166" formatCode="_-[$£-809]* #,##0.00_-;\-[$£-809]* #,##0.00_-;_-[$£-809]* &quot;-&quot;??_-;_-@_-"/>
    <numFmt numFmtId="167" formatCode="0.0000000"/>
  </numFmts>
  <fonts count="3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17"/>
      <name val="Arial"/>
      <family val="2"/>
    </font>
    <font>
      <sz val="10"/>
      <color theme="1"/>
      <name val="Arial"/>
      <family val="2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0"/>
      <color indexed="17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36322B"/>
      <name val="Inter"/>
    </font>
    <font>
      <sz val="8"/>
      <name val="Calibri"/>
      <family val="2"/>
      <scheme val="minor"/>
    </font>
    <font>
      <sz val="14"/>
      <color rgb="FF36322B"/>
      <name val="Calibri"/>
      <family val="2"/>
      <scheme val="minor"/>
    </font>
    <font>
      <b/>
      <sz val="14"/>
      <color rgb="FF36322B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name val="Arial"/>
      <family val="2"/>
    </font>
    <font>
      <b/>
      <i/>
      <sz val="14"/>
      <color theme="1"/>
      <name val="Calibri"/>
      <family val="2"/>
      <scheme val="minor"/>
    </font>
    <font>
      <i/>
      <sz val="14"/>
      <color indexed="17"/>
      <name val="Arial"/>
      <family val="2"/>
    </font>
    <font>
      <sz val="14"/>
      <color indexed="17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rgb="FF36322B"/>
      <name val="Calibri"/>
      <family val="2"/>
      <scheme val="minor"/>
    </font>
    <font>
      <b/>
      <sz val="12"/>
      <color rgb="FFFF49B8"/>
      <name val="Inter"/>
    </font>
    <font>
      <b/>
      <sz val="16"/>
      <color rgb="FF36322B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018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double">
        <color theme="1"/>
      </bottom>
      <diagonal/>
    </border>
    <border>
      <left/>
      <right/>
      <top style="medium">
        <color theme="1"/>
      </top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 style="medium">
        <color theme="1"/>
      </left>
      <right/>
      <top/>
      <bottom style="double">
        <color theme="1"/>
      </bottom>
      <diagonal/>
    </border>
    <border>
      <left/>
      <right style="medium">
        <color theme="1"/>
      </right>
      <top/>
      <bottom style="double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double">
        <color indexed="64"/>
      </bottom>
      <diagonal/>
    </border>
    <border>
      <left style="medium">
        <color theme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theme="1"/>
      </left>
      <right/>
      <top style="double">
        <color theme="1"/>
      </top>
      <bottom style="thin">
        <color indexed="64"/>
      </bottom>
      <diagonal/>
    </border>
    <border>
      <left/>
      <right/>
      <top style="double">
        <color theme="1"/>
      </top>
      <bottom style="thin">
        <color indexed="64"/>
      </bottom>
      <diagonal/>
    </border>
    <border>
      <left/>
      <right style="medium">
        <color theme="1"/>
      </right>
      <top style="double">
        <color theme="1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3">
    <xf numFmtId="0" fontId="0" fillId="0" borderId="0" xfId="0"/>
    <xf numFmtId="0" fontId="1" fillId="0" borderId="0" xfId="0" applyFont="1"/>
    <xf numFmtId="0" fontId="0" fillId="0" borderId="0" xfId="0" applyAlignment="1"/>
    <xf numFmtId="165" fontId="0" fillId="0" borderId="0" xfId="1" applyNumberFormat="1" applyFont="1" applyFill="1"/>
    <xf numFmtId="0" fontId="0" fillId="0" borderId="0" xfId="0" applyFill="1"/>
    <xf numFmtId="0" fontId="0" fillId="0" borderId="1" xfId="0" applyFill="1" applyBorder="1"/>
    <xf numFmtId="0" fontId="4" fillId="0" borderId="0" xfId="0" applyFont="1" applyFill="1"/>
    <xf numFmtId="0" fontId="5" fillId="0" borderId="0" xfId="0" applyFont="1" applyFill="1"/>
    <xf numFmtId="0" fontId="1" fillId="0" borderId="0" xfId="0" applyFont="1" applyFill="1" applyAlignment="1">
      <alignment horizontal="right"/>
    </xf>
    <xf numFmtId="165" fontId="5" fillId="0" borderId="1" xfId="0" applyNumberFormat="1" applyFont="1" applyFill="1" applyBorder="1"/>
    <xf numFmtId="0" fontId="5" fillId="0" borderId="1" xfId="0" applyFont="1" applyFill="1" applyBorder="1"/>
    <xf numFmtId="165" fontId="0" fillId="0" borderId="0" xfId="0" applyNumberFormat="1" applyFill="1"/>
    <xf numFmtId="165" fontId="5" fillId="0" borderId="1" xfId="1" applyNumberFormat="1" applyFont="1" applyFill="1" applyBorder="1"/>
    <xf numFmtId="0" fontId="0" fillId="0" borderId="0" xfId="0" applyFill="1" applyBorder="1"/>
    <xf numFmtId="0" fontId="4" fillId="0" borderId="0" xfId="0" applyFont="1" applyFill="1" applyBorder="1"/>
    <xf numFmtId="0" fontId="1" fillId="0" borderId="0" xfId="0" applyFont="1" applyFill="1" applyAlignment="1">
      <alignment horizontal="left"/>
    </xf>
    <xf numFmtId="0" fontId="0" fillId="0" borderId="0" xfId="0" applyFill="1" applyAlignment="1">
      <alignment horizontal="right"/>
    </xf>
    <xf numFmtId="164" fontId="6" fillId="0" borderId="0" xfId="0" applyNumberFormat="1" applyFont="1" applyFill="1"/>
    <xf numFmtId="164" fontId="0" fillId="0" borderId="0" xfId="0" applyNumberFormat="1" applyFill="1"/>
    <xf numFmtId="0" fontId="0" fillId="0" borderId="0" xfId="0" applyFont="1" applyFill="1" applyAlignment="1">
      <alignment horizontal="left"/>
    </xf>
    <xf numFmtId="2" fontId="0" fillId="0" borderId="3" xfId="0" applyNumberFormat="1" applyFill="1" applyBorder="1"/>
    <xf numFmtId="0" fontId="0" fillId="0" borderId="5" xfId="0" applyFill="1" applyBorder="1"/>
    <xf numFmtId="2" fontId="0" fillId="0" borderId="6" xfId="0" applyNumberFormat="1" applyFill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1" fontId="0" fillId="0" borderId="0" xfId="0" applyNumberFormat="1" applyFill="1" applyAlignment="1">
      <alignment horizontal="right"/>
    </xf>
    <xf numFmtId="0" fontId="0" fillId="4" borderId="0" xfId="0" applyFill="1"/>
    <xf numFmtId="0" fontId="9" fillId="0" borderId="0" xfId="0" applyFont="1" applyFill="1" applyAlignment="1">
      <alignment horizontal="left"/>
    </xf>
    <xf numFmtId="0" fontId="10" fillId="0" borderId="0" xfId="0" applyFont="1" applyFill="1"/>
    <xf numFmtId="165" fontId="11" fillId="0" borderId="0" xfId="0" applyNumberFormat="1" applyFont="1" applyFill="1" applyBorder="1"/>
    <xf numFmtId="0" fontId="11" fillId="0" borderId="0" xfId="0" applyFont="1" applyFill="1" applyBorder="1"/>
    <xf numFmtId="0" fontId="0" fillId="0" borderId="2" xfId="0" applyFill="1" applyBorder="1"/>
    <xf numFmtId="0" fontId="0" fillId="0" borderId="3" xfId="0" applyFill="1" applyBorder="1"/>
    <xf numFmtId="0" fontId="1" fillId="0" borderId="12" xfId="0" applyFont="1" applyFill="1" applyBorder="1"/>
    <xf numFmtId="0" fontId="1" fillId="0" borderId="13" xfId="0" applyFont="1" applyFill="1" applyBorder="1"/>
    <xf numFmtId="3" fontId="7" fillId="0" borderId="2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left"/>
    </xf>
    <xf numFmtId="0" fontId="1" fillId="0" borderId="0" xfId="0" applyFont="1" applyFill="1"/>
    <xf numFmtId="3" fontId="7" fillId="0" borderId="32" xfId="0" applyNumberFormat="1" applyFont="1" applyFill="1" applyBorder="1" applyAlignment="1">
      <alignment horizontal="center"/>
    </xf>
    <xf numFmtId="3" fontId="7" fillId="0" borderId="37" xfId="0" applyNumberFormat="1" applyFont="1" applyFill="1" applyBorder="1" applyAlignment="1">
      <alignment horizontal="center"/>
    </xf>
    <xf numFmtId="0" fontId="1" fillId="0" borderId="38" xfId="0" applyFont="1" applyFill="1" applyBorder="1"/>
    <xf numFmtId="4" fontId="0" fillId="0" borderId="2" xfId="0" applyNumberFormat="1" applyFill="1" applyBorder="1"/>
    <xf numFmtId="4" fontId="0" fillId="0" borderId="3" xfId="0" applyNumberFormat="1" applyFill="1" applyBorder="1"/>
    <xf numFmtId="4" fontId="7" fillId="6" borderId="14" xfId="0" applyNumberFormat="1" applyFont="1" applyFill="1" applyBorder="1" applyAlignment="1">
      <alignment horizontal="center"/>
    </xf>
    <xf numFmtId="166" fontId="7" fillId="6" borderId="39" xfId="0" applyNumberFormat="1" applyFont="1" applyFill="1" applyBorder="1" applyAlignment="1">
      <alignment horizontal="center"/>
    </xf>
    <xf numFmtId="166" fontId="7" fillId="6" borderId="14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0" xfId="0" applyFont="1"/>
    <xf numFmtId="0" fontId="0" fillId="0" borderId="26" xfId="0" applyBorder="1"/>
    <xf numFmtId="0" fontId="0" fillId="0" borderId="25" xfId="0" applyFont="1" applyBorder="1"/>
    <xf numFmtId="0" fontId="16" fillId="0" borderId="44" xfId="0" applyFont="1" applyFill="1" applyBorder="1"/>
    <xf numFmtId="0" fontId="16" fillId="0" borderId="45" xfId="0" applyFont="1" applyFill="1" applyBorder="1"/>
    <xf numFmtId="0" fontId="0" fillId="0" borderId="0" xfId="0" applyFont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Border="1"/>
    <xf numFmtId="0" fontId="17" fillId="0" borderId="44" xfId="0" applyFont="1" applyFill="1" applyBorder="1"/>
    <xf numFmtId="0" fontId="17" fillId="0" borderId="43" xfId="0" applyFont="1" applyFill="1" applyBorder="1"/>
    <xf numFmtId="0" fontId="17" fillId="0" borderId="45" xfId="0" applyFont="1" applyFill="1" applyBorder="1"/>
    <xf numFmtId="0" fontId="0" fillId="0" borderId="26" xfId="0" applyFill="1" applyBorder="1"/>
    <xf numFmtId="0" fontId="0" fillId="0" borderId="46" xfId="0" applyFill="1" applyBorder="1"/>
    <xf numFmtId="0" fontId="0" fillId="4" borderId="26" xfId="0" applyFill="1" applyBorder="1"/>
    <xf numFmtId="0" fontId="1" fillId="0" borderId="26" xfId="0" applyNumberFormat="1" applyFont="1" applyFill="1" applyBorder="1" applyAlignment="1">
      <alignment horizontal="left"/>
    </xf>
    <xf numFmtId="0" fontId="1" fillId="0" borderId="26" xfId="0" applyNumberFormat="1" applyFont="1" applyFill="1" applyBorder="1" applyAlignment="1">
      <alignment horizontal="right"/>
    </xf>
    <xf numFmtId="165" fontId="0" fillId="0" borderId="26" xfId="0" applyNumberFormat="1" applyFill="1" applyBorder="1"/>
    <xf numFmtId="0" fontId="3" fillId="4" borderId="0" xfId="0" applyFont="1" applyFill="1" applyBorder="1" applyAlignment="1">
      <alignment horizontal="right"/>
    </xf>
    <xf numFmtId="165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 applyAlignment="1">
      <alignment horizontal="right"/>
    </xf>
    <xf numFmtId="0" fontId="0" fillId="0" borderId="0" xfId="1" applyNumberFormat="1" applyFont="1" applyFill="1" applyBorder="1"/>
    <xf numFmtId="0" fontId="0" fillId="0" borderId="0" xfId="0" applyNumberFormat="1" applyFill="1" applyBorder="1"/>
    <xf numFmtId="0" fontId="0" fillId="0" borderId="25" xfId="0" applyFill="1" applyBorder="1"/>
    <xf numFmtId="0" fontId="0" fillId="0" borderId="47" xfId="0" applyFill="1" applyBorder="1"/>
    <xf numFmtId="0" fontId="0" fillId="0" borderId="13" xfId="0" applyFill="1" applyBorder="1"/>
    <xf numFmtId="0" fontId="0" fillId="0" borderId="12" xfId="0" applyFill="1" applyBorder="1"/>
    <xf numFmtId="4" fontId="0" fillId="0" borderId="12" xfId="0" applyNumberFormat="1" applyFill="1" applyBorder="1"/>
    <xf numFmtId="4" fontId="0" fillId="0" borderId="13" xfId="0" applyNumberFormat="1" applyFill="1" applyBorder="1"/>
    <xf numFmtId="0" fontId="18" fillId="0" borderId="0" xfId="0" applyFont="1" applyFill="1"/>
    <xf numFmtId="0" fontId="19" fillId="0" borderId="0" xfId="0" applyFont="1" applyFill="1"/>
    <xf numFmtId="0" fontId="19" fillId="0" borderId="0" xfId="0" applyFont="1" applyFill="1" applyAlignment="1">
      <alignment horizontal="right"/>
    </xf>
    <xf numFmtId="0" fontId="19" fillId="0" borderId="1" xfId="1" applyNumberFormat="1" applyFont="1" applyFill="1" applyBorder="1" applyAlignment="1">
      <alignment horizontal="right"/>
    </xf>
    <xf numFmtId="0" fontId="19" fillId="0" borderId="1" xfId="0" applyFont="1" applyFill="1" applyBorder="1"/>
    <xf numFmtId="0" fontId="20" fillId="0" borderId="0" xfId="0" applyFont="1" applyFill="1"/>
    <xf numFmtId="1" fontId="19" fillId="0" borderId="0" xfId="0" applyNumberFormat="1" applyFont="1" applyFill="1" applyAlignment="1">
      <alignment horizontal="right"/>
    </xf>
    <xf numFmtId="2" fontId="19" fillId="0" borderId="1" xfId="1" applyNumberFormat="1" applyFont="1" applyFill="1" applyBorder="1" applyAlignment="1">
      <alignment horizontal="right"/>
    </xf>
    <xf numFmtId="0" fontId="21" fillId="0" borderId="0" xfId="0" applyFont="1" applyFill="1" applyAlignment="1">
      <alignment horizontal="right"/>
    </xf>
    <xf numFmtId="164" fontId="19" fillId="0" borderId="0" xfId="0" applyNumberFormat="1" applyFont="1" applyFill="1"/>
    <xf numFmtId="0" fontId="19" fillId="0" borderId="0" xfId="1" applyNumberFormat="1" applyFont="1" applyFill="1"/>
    <xf numFmtId="165" fontId="18" fillId="0" borderId="0" xfId="0" applyNumberFormat="1" applyFont="1" applyFill="1"/>
    <xf numFmtId="165" fontId="22" fillId="0" borderId="0" xfId="1" applyNumberFormat="1" applyFont="1" applyFill="1" applyBorder="1"/>
    <xf numFmtId="0" fontId="23" fillId="0" borderId="0" xfId="0" applyFont="1" applyFill="1"/>
    <xf numFmtId="0" fontId="22" fillId="0" borderId="0" xfId="0" applyFont="1" applyFill="1" applyBorder="1"/>
    <xf numFmtId="164" fontId="24" fillId="0" borderId="0" xfId="0" applyNumberFormat="1" applyFont="1" applyFill="1"/>
    <xf numFmtId="165" fontId="23" fillId="0" borderId="0" xfId="0" applyNumberFormat="1" applyFont="1" applyFill="1" applyBorder="1"/>
    <xf numFmtId="0" fontId="23" fillId="0" borderId="0" xfId="0" applyFont="1" applyFill="1" applyBorder="1"/>
    <xf numFmtId="0" fontId="25" fillId="0" borderId="0" xfId="0" applyFont="1" applyFill="1"/>
    <xf numFmtId="0" fontId="25" fillId="0" borderId="1" xfId="0" applyFont="1" applyFill="1" applyBorder="1"/>
    <xf numFmtId="0" fontId="26" fillId="0" borderId="0" xfId="0" applyFont="1" applyFill="1"/>
    <xf numFmtId="0" fontId="27" fillId="0" borderId="1" xfId="0" applyFont="1" applyFill="1" applyBorder="1"/>
    <xf numFmtId="4" fontId="0" fillId="0" borderId="48" xfId="0" applyNumberFormat="1" applyFill="1" applyBorder="1"/>
    <xf numFmtId="4" fontId="0" fillId="0" borderId="49" xfId="0" applyNumberFormat="1" applyFill="1" applyBorder="1"/>
    <xf numFmtId="4" fontId="0" fillId="0" borderId="50" xfId="0" applyNumberFormat="1" applyFill="1" applyBorder="1"/>
    <xf numFmtId="0" fontId="28" fillId="9" borderId="51" xfId="0" applyFont="1" applyFill="1" applyBorder="1" applyAlignment="1">
      <alignment horizontal="left"/>
    </xf>
    <xf numFmtId="0" fontId="28" fillId="9" borderId="52" xfId="0" applyFont="1" applyFill="1" applyBorder="1" applyAlignment="1">
      <alignment horizontal="left"/>
    </xf>
    <xf numFmtId="0" fontId="28" fillId="9" borderId="53" xfId="0" applyFont="1" applyFill="1" applyBorder="1" applyAlignment="1">
      <alignment horizontal="left"/>
    </xf>
    <xf numFmtId="0" fontId="30" fillId="9" borderId="25" xfId="0" applyFont="1" applyFill="1" applyBorder="1"/>
    <xf numFmtId="0" fontId="30" fillId="9" borderId="0" xfId="0" applyFont="1" applyFill="1" applyBorder="1"/>
    <xf numFmtId="0" fontId="30" fillId="9" borderId="26" xfId="0" applyFont="1" applyFill="1" applyBorder="1"/>
    <xf numFmtId="0" fontId="30" fillId="9" borderId="27" xfId="0" applyFont="1" applyFill="1" applyBorder="1"/>
    <xf numFmtId="0" fontId="30" fillId="9" borderId="28" xfId="0" applyFont="1" applyFill="1" applyBorder="1"/>
    <xf numFmtId="0" fontId="30" fillId="9" borderId="29" xfId="0" applyFont="1" applyFill="1" applyBorder="1"/>
    <xf numFmtId="0" fontId="25" fillId="2" borderId="10" xfId="0" applyFont="1" applyFill="1" applyBorder="1"/>
    <xf numFmtId="0" fontId="25" fillId="2" borderId="11" xfId="0" applyFont="1" applyFill="1" applyBorder="1"/>
    <xf numFmtId="4" fontId="19" fillId="2" borderId="4" xfId="0" applyNumberFormat="1" applyFont="1" applyFill="1" applyBorder="1"/>
    <xf numFmtId="4" fontId="19" fillId="2" borderId="6" xfId="0" applyNumberFormat="1" applyFont="1" applyFill="1" applyBorder="1"/>
    <xf numFmtId="0" fontId="28" fillId="9" borderId="40" xfId="0" applyFont="1" applyFill="1" applyBorder="1" applyAlignment="1">
      <alignment horizontal="left"/>
    </xf>
    <xf numFmtId="0" fontId="28" fillId="9" borderId="41" xfId="0" applyFont="1" applyFill="1" applyBorder="1" applyAlignment="1">
      <alignment horizontal="left"/>
    </xf>
    <xf numFmtId="0" fontId="28" fillId="9" borderId="42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2" fillId="7" borderId="27" xfId="0" applyFont="1" applyFill="1" applyBorder="1" applyAlignment="1">
      <alignment horizontal="center" vertical="center" wrapText="1"/>
    </xf>
    <xf numFmtId="0" fontId="12" fillId="7" borderId="28" xfId="0" applyFont="1" applyFill="1" applyBorder="1" applyAlignment="1">
      <alignment horizontal="center" vertical="center" wrapText="1"/>
    </xf>
    <xf numFmtId="0" fontId="29" fillId="8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/>
    </xf>
    <xf numFmtId="3" fontId="7" fillId="5" borderId="35" xfId="0" applyNumberFormat="1" applyFont="1" applyFill="1" applyBorder="1" applyAlignment="1">
      <alignment horizontal="center"/>
    </xf>
    <xf numFmtId="3" fontId="7" fillId="5" borderId="34" xfId="0" applyNumberFormat="1" applyFont="1" applyFill="1" applyBorder="1" applyAlignment="1">
      <alignment horizontal="center"/>
    </xf>
    <xf numFmtId="3" fontId="7" fillId="0" borderId="21" xfId="0" applyNumberFormat="1" applyFont="1" applyFill="1" applyBorder="1" applyAlignment="1">
      <alignment horizontal="center"/>
    </xf>
    <xf numFmtId="3" fontId="7" fillId="0" borderId="22" xfId="0" applyNumberFormat="1" applyFont="1" applyFill="1" applyBorder="1" applyAlignment="1">
      <alignment horizontal="center"/>
    </xf>
    <xf numFmtId="3" fontId="31" fillId="5" borderId="17" xfId="0" applyNumberFormat="1" applyFont="1" applyFill="1" applyBorder="1" applyAlignment="1">
      <alignment horizontal="center"/>
    </xf>
    <xf numFmtId="3" fontId="31" fillId="5" borderId="18" xfId="0" applyNumberFormat="1" applyFont="1" applyFill="1" applyBorder="1" applyAlignment="1">
      <alignment horizontal="center"/>
    </xf>
    <xf numFmtId="3" fontId="7" fillId="5" borderId="36" xfId="0" applyNumberFormat="1" applyFont="1" applyFill="1" applyBorder="1" applyAlignment="1">
      <alignment horizontal="center"/>
    </xf>
    <xf numFmtId="3" fontId="7" fillId="5" borderId="31" xfId="0" applyNumberFormat="1" applyFont="1" applyFill="1" applyBorder="1" applyAlignment="1">
      <alignment horizontal="center"/>
    </xf>
    <xf numFmtId="3" fontId="31" fillId="5" borderId="19" xfId="0" applyNumberFormat="1" applyFont="1" applyFill="1" applyBorder="1" applyAlignment="1">
      <alignment horizontal="center"/>
    </xf>
    <xf numFmtId="3" fontId="31" fillId="5" borderId="20" xfId="0" applyNumberFormat="1" applyFont="1" applyFill="1" applyBorder="1" applyAlignment="1">
      <alignment horizontal="center"/>
    </xf>
    <xf numFmtId="0" fontId="13" fillId="4" borderId="15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 wrapText="1"/>
    </xf>
    <xf numFmtId="0" fontId="12" fillId="4" borderId="16" xfId="0" applyFont="1" applyFill="1" applyBorder="1" applyAlignment="1">
      <alignment horizontal="center" vertical="center" wrapText="1"/>
    </xf>
    <xf numFmtId="3" fontId="7" fillId="5" borderId="33" xfId="0" applyNumberFormat="1" applyFont="1" applyFill="1" applyBorder="1" applyAlignment="1">
      <alignment horizontal="center"/>
    </xf>
    <xf numFmtId="3" fontId="7" fillId="5" borderId="30" xfId="0" applyNumberFormat="1" applyFont="1" applyFill="1" applyBorder="1" applyAlignment="1">
      <alignment horizontal="center"/>
    </xf>
    <xf numFmtId="167" fontId="0" fillId="0" borderId="0" xfId="0" applyNumberFormat="1"/>
    <xf numFmtId="0" fontId="1" fillId="9" borderId="15" xfId="0" applyFont="1" applyFill="1" applyBorder="1"/>
    <xf numFmtId="0" fontId="0" fillId="9" borderId="37" xfId="0" applyFill="1" applyBorder="1"/>
    <xf numFmtId="0" fontId="0" fillId="9" borderId="16" xfId="0" applyFill="1" applyBorder="1"/>
    <xf numFmtId="0" fontId="0" fillId="9" borderId="25" xfId="0" applyFill="1" applyBorder="1"/>
    <xf numFmtId="0" fontId="0" fillId="9" borderId="0" xfId="0" applyFill="1" applyBorder="1"/>
    <xf numFmtId="0" fontId="0" fillId="9" borderId="26" xfId="0" applyFill="1" applyBorder="1"/>
    <xf numFmtId="0" fontId="0" fillId="9" borderId="25" xfId="0" applyFont="1" applyFill="1" applyBorder="1"/>
    <xf numFmtId="0" fontId="32" fillId="9" borderId="0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49B8"/>
      <color rgb="FFFF029A"/>
      <color rgb="FFED01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Incremental Cost-Effectiveness Plane – Supimab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PSA2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DecisionTree!$U$8:$U$107</c:f>
              <c:numCache>
                <c:formatCode>#,##0.00</c:formatCode>
                <c:ptCount val="100"/>
                <c:pt idx="0">
                  <c:v>454.99999999999636</c:v>
                </c:pt>
                <c:pt idx="1">
                  <c:v>454.99999999999636</c:v>
                </c:pt>
                <c:pt idx="2">
                  <c:v>454.99999999999636</c:v>
                </c:pt>
                <c:pt idx="3">
                  <c:v>454.99999999999636</c:v>
                </c:pt>
                <c:pt idx="4">
                  <c:v>454.99999999999636</c:v>
                </c:pt>
                <c:pt idx="5">
                  <c:v>454.99999999999636</c:v>
                </c:pt>
                <c:pt idx="6">
                  <c:v>454.99999999999636</c:v>
                </c:pt>
                <c:pt idx="7">
                  <c:v>454.99999999999636</c:v>
                </c:pt>
                <c:pt idx="8">
                  <c:v>454.99999999999636</c:v>
                </c:pt>
                <c:pt idx="9">
                  <c:v>454.99999999999636</c:v>
                </c:pt>
                <c:pt idx="10">
                  <c:v>454.99999999999636</c:v>
                </c:pt>
                <c:pt idx="11">
                  <c:v>454.99999999999636</c:v>
                </c:pt>
                <c:pt idx="12">
                  <c:v>454.99999999999636</c:v>
                </c:pt>
                <c:pt idx="13">
                  <c:v>454.99999999999636</c:v>
                </c:pt>
                <c:pt idx="14">
                  <c:v>454.99999999999636</c:v>
                </c:pt>
                <c:pt idx="15">
                  <c:v>454.99999999999636</c:v>
                </c:pt>
                <c:pt idx="16">
                  <c:v>454.99999999999636</c:v>
                </c:pt>
                <c:pt idx="17">
                  <c:v>454.99999999999636</c:v>
                </c:pt>
                <c:pt idx="18">
                  <c:v>454.99999999999636</c:v>
                </c:pt>
                <c:pt idx="19">
                  <c:v>454.99999999999636</c:v>
                </c:pt>
                <c:pt idx="20">
                  <c:v>454.99999999999636</c:v>
                </c:pt>
                <c:pt idx="21">
                  <c:v>454.99999999999636</c:v>
                </c:pt>
                <c:pt idx="22">
                  <c:v>454.99999999999636</c:v>
                </c:pt>
                <c:pt idx="23">
                  <c:v>454.99999999999636</c:v>
                </c:pt>
                <c:pt idx="24">
                  <c:v>454.99999999999636</c:v>
                </c:pt>
                <c:pt idx="25">
                  <c:v>454.99999999999636</c:v>
                </c:pt>
                <c:pt idx="26">
                  <c:v>454.99999999999636</c:v>
                </c:pt>
                <c:pt idx="27">
                  <c:v>454.99999999999636</c:v>
                </c:pt>
                <c:pt idx="28">
                  <c:v>454.99999999999636</c:v>
                </c:pt>
                <c:pt idx="29">
                  <c:v>454.99999999999636</c:v>
                </c:pt>
                <c:pt idx="30">
                  <c:v>454.99999999999636</c:v>
                </c:pt>
                <c:pt idx="31">
                  <c:v>454.99999999999636</c:v>
                </c:pt>
                <c:pt idx="32">
                  <c:v>454.99999999999636</c:v>
                </c:pt>
                <c:pt idx="33">
                  <c:v>454.99999999999636</c:v>
                </c:pt>
                <c:pt idx="34">
                  <c:v>454.99999999999636</c:v>
                </c:pt>
                <c:pt idx="35">
                  <c:v>454.99999999999636</c:v>
                </c:pt>
                <c:pt idx="36">
                  <c:v>454.99999999999636</c:v>
                </c:pt>
                <c:pt idx="37">
                  <c:v>454.99999999999636</c:v>
                </c:pt>
                <c:pt idx="38">
                  <c:v>454.99999999999636</c:v>
                </c:pt>
                <c:pt idx="39">
                  <c:v>454.99999999999636</c:v>
                </c:pt>
                <c:pt idx="40">
                  <c:v>454.99999999999636</c:v>
                </c:pt>
                <c:pt idx="41">
                  <c:v>454.99999999999636</c:v>
                </c:pt>
                <c:pt idx="42">
                  <c:v>454.99999999999636</c:v>
                </c:pt>
                <c:pt idx="43">
                  <c:v>454.99999999999636</c:v>
                </c:pt>
                <c:pt idx="44">
                  <c:v>454.99999999999636</c:v>
                </c:pt>
                <c:pt idx="45">
                  <c:v>454.99999999999636</c:v>
                </c:pt>
                <c:pt idx="46">
                  <c:v>454.99999999999636</c:v>
                </c:pt>
                <c:pt idx="47">
                  <c:v>454.99999999999636</c:v>
                </c:pt>
                <c:pt idx="48">
                  <c:v>454.99999999999636</c:v>
                </c:pt>
                <c:pt idx="49">
                  <c:v>454.99999999999636</c:v>
                </c:pt>
                <c:pt idx="50">
                  <c:v>454.99999999999636</c:v>
                </c:pt>
                <c:pt idx="51">
                  <c:v>454.99999999999636</c:v>
                </c:pt>
                <c:pt idx="52">
                  <c:v>454.99999999999636</c:v>
                </c:pt>
                <c:pt idx="53">
                  <c:v>454.99999999999636</c:v>
                </c:pt>
                <c:pt idx="54">
                  <c:v>454.99999999999636</c:v>
                </c:pt>
                <c:pt idx="55">
                  <c:v>454.99999999999636</c:v>
                </c:pt>
                <c:pt idx="56">
                  <c:v>454.99999999999636</c:v>
                </c:pt>
                <c:pt idx="57">
                  <c:v>454.99999999999636</c:v>
                </c:pt>
                <c:pt idx="58">
                  <c:v>454.99999999999636</c:v>
                </c:pt>
                <c:pt idx="59">
                  <c:v>454.99999999999636</c:v>
                </c:pt>
                <c:pt idx="60">
                  <c:v>454.99999999999636</c:v>
                </c:pt>
                <c:pt idx="61">
                  <c:v>454.99999999999636</c:v>
                </c:pt>
                <c:pt idx="62">
                  <c:v>454.99999999999636</c:v>
                </c:pt>
                <c:pt idx="63">
                  <c:v>454.99999999999636</c:v>
                </c:pt>
                <c:pt idx="64">
                  <c:v>454.99999999999636</c:v>
                </c:pt>
                <c:pt idx="65">
                  <c:v>454.99999999999636</c:v>
                </c:pt>
                <c:pt idx="66">
                  <c:v>454.99999999999636</c:v>
                </c:pt>
                <c:pt idx="67">
                  <c:v>454.99999999999636</c:v>
                </c:pt>
                <c:pt idx="68">
                  <c:v>454.99999999999636</c:v>
                </c:pt>
                <c:pt idx="69">
                  <c:v>454.99999999999636</c:v>
                </c:pt>
                <c:pt idx="70">
                  <c:v>454.99999999999636</c:v>
                </c:pt>
                <c:pt idx="71">
                  <c:v>454.99999999999636</c:v>
                </c:pt>
                <c:pt idx="72">
                  <c:v>454.99999999999636</c:v>
                </c:pt>
                <c:pt idx="73">
                  <c:v>454.99999999999636</c:v>
                </c:pt>
                <c:pt idx="74">
                  <c:v>454.99999999999636</c:v>
                </c:pt>
                <c:pt idx="75">
                  <c:v>454.99999999999636</c:v>
                </c:pt>
                <c:pt idx="76">
                  <c:v>454.99999999999636</c:v>
                </c:pt>
                <c:pt idx="77">
                  <c:v>454.99999999999636</c:v>
                </c:pt>
                <c:pt idx="78">
                  <c:v>454.99999999999636</c:v>
                </c:pt>
                <c:pt idx="79">
                  <c:v>454.99999999999636</c:v>
                </c:pt>
                <c:pt idx="80">
                  <c:v>454.99999999999636</c:v>
                </c:pt>
                <c:pt idx="81">
                  <c:v>454.99999999999636</c:v>
                </c:pt>
                <c:pt idx="82">
                  <c:v>454.99999999999636</c:v>
                </c:pt>
                <c:pt idx="83">
                  <c:v>454.99999999999636</c:v>
                </c:pt>
                <c:pt idx="84">
                  <c:v>454.99999999999636</c:v>
                </c:pt>
                <c:pt idx="85">
                  <c:v>454.99999999999636</c:v>
                </c:pt>
                <c:pt idx="86">
                  <c:v>454.99999999999636</c:v>
                </c:pt>
                <c:pt idx="87">
                  <c:v>454.99999999999636</c:v>
                </c:pt>
                <c:pt idx="88">
                  <c:v>454.99999999999636</c:v>
                </c:pt>
                <c:pt idx="89">
                  <c:v>454.99999999999636</c:v>
                </c:pt>
                <c:pt idx="90">
                  <c:v>454.99999999999636</c:v>
                </c:pt>
                <c:pt idx="91">
                  <c:v>454.99999999999636</c:v>
                </c:pt>
                <c:pt idx="92">
                  <c:v>454.99999999999636</c:v>
                </c:pt>
                <c:pt idx="93">
                  <c:v>454.99999999999636</c:v>
                </c:pt>
                <c:pt idx="94">
                  <c:v>454.99999999999636</c:v>
                </c:pt>
                <c:pt idx="95">
                  <c:v>454.99999999999636</c:v>
                </c:pt>
                <c:pt idx="96">
                  <c:v>454.99999999999636</c:v>
                </c:pt>
                <c:pt idx="97">
                  <c:v>454.99999999999636</c:v>
                </c:pt>
                <c:pt idx="98">
                  <c:v>454.99999999999636</c:v>
                </c:pt>
                <c:pt idx="99">
                  <c:v>454.99999999999636</c:v>
                </c:pt>
              </c:numCache>
            </c:numRef>
          </c:xVal>
          <c:yVal>
            <c:numRef>
              <c:f>DecisionTree!$V$8:$V$107</c:f>
              <c:numCache>
                <c:formatCode>#,##0.00</c:formatCode>
                <c:ptCount val="100"/>
                <c:pt idx="0">
                  <c:v>7.4999999999999289E-2</c:v>
                </c:pt>
                <c:pt idx="1">
                  <c:v>7.4999999999999289E-2</c:v>
                </c:pt>
                <c:pt idx="2">
                  <c:v>7.4999999999999289E-2</c:v>
                </c:pt>
                <c:pt idx="3">
                  <c:v>7.4999999999999289E-2</c:v>
                </c:pt>
                <c:pt idx="4">
                  <c:v>7.4999999999999289E-2</c:v>
                </c:pt>
                <c:pt idx="5">
                  <c:v>7.4999999999999289E-2</c:v>
                </c:pt>
                <c:pt idx="6">
                  <c:v>7.4999999999999289E-2</c:v>
                </c:pt>
                <c:pt idx="7">
                  <c:v>7.4999999999999289E-2</c:v>
                </c:pt>
                <c:pt idx="8">
                  <c:v>7.4999999999999289E-2</c:v>
                </c:pt>
                <c:pt idx="9">
                  <c:v>7.4999999999999289E-2</c:v>
                </c:pt>
                <c:pt idx="10">
                  <c:v>7.4999999999999289E-2</c:v>
                </c:pt>
                <c:pt idx="11">
                  <c:v>7.4999999999999289E-2</c:v>
                </c:pt>
                <c:pt idx="12">
                  <c:v>7.4999999999999289E-2</c:v>
                </c:pt>
                <c:pt idx="13">
                  <c:v>7.4999999999999289E-2</c:v>
                </c:pt>
                <c:pt idx="14">
                  <c:v>7.4999999999999289E-2</c:v>
                </c:pt>
                <c:pt idx="15">
                  <c:v>7.4999999999999289E-2</c:v>
                </c:pt>
                <c:pt idx="16">
                  <c:v>7.4999999999999289E-2</c:v>
                </c:pt>
                <c:pt idx="17">
                  <c:v>7.4999999999999289E-2</c:v>
                </c:pt>
                <c:pt idx="18">
                  <c:v>7.4999999999999289E-2</c:v>
                </c:pt>
                <c:pt idx="19">
                  <c:v>7.4999999999999289E-2</c:v>
                </c:pt>
                <c:pt idx="20">
                  <c:v>7.4999999999999289E-2</c:v>
                </c:pt>
                <c:pt idx="21">
                  <c:v>7.4999999999999289E-2</c:v>
                </c:pt>
                <c:pt idx="22">
                  <c:v>7.4999999999999289E-2</c:v>
                </c:pt>
                <c:pt idx="23">
                  <c:v>7.4999999999999289E-2</c:v>
                </c:pt>
                <c:pt idx="24">
                  <c:v>7.4999999999999289E-2</c:v>
                </c:pt>
                <c:pt idx="25">
                  <c:v>7.4999999999999289E-2</c:v>
                </c:pt>
                <c:pt idx="26">
                  <c:v>7.4999999999999289E-2</c:v>
                </c:pt>
                <c:pt idx="27">
                  <c:v>7.4999999999999289E-2</c:v>
                </c:pt>
                <c:pt idx="28">
                  <c:v>7.4999999999999289E-2</c:v>
                </c:pt>
                <c:pt idx="29">
                  <c:v>7.4999999999999289E-2</c:v>
                </c:pt>
                <c:pt idx="30">
                  <c:v>7.4999999999999289E-2</c:v>
                </c:pt>
                <c:pt idx="31">
                  <c:v>7.4999999999999289E-2</c:v>
                </c:pt>
                <c:pt idx="32">
                  <c:v>7.4999999999999289E-2</c:v>
                </c:pt>
                <c:pt idx="33">
                  <c:v>7.4999999999999289E-2</c:v>
                </c:pt>
                <c:pt idx="34">
                  <c:v>7.4999999999999289E-2</c:v>
                </c:pt>
                <c:pt idx="35">
                  <c:v>7.4999999999999289E-2</c:v>
                </c:pt>
                <c:pt idx="36">
                  <c:v>7.4999999999999289E-2</c:v>
                </c:pt>
                <c:pt idx="37">
                  <c:v>7.4999999999999289E-2</c:v>
                </c:pt>
                <c:pt idx="38">
                  <c:v>7.4999999999999289E-2</c:v>
                </c:pt>
                <c:pt idx="39">
                  <c:v>7.4999999999999289E-2</c:v>
                </c:pt>
                <c:pt idx="40">
                  <c:v>7.4999999999999289E-2</c:v>
                </c:pt>
                <c:pt idx="41">
                  <c:v>7.4999999999999289E-2</c:v>
                </c:pt>
                <c:pt idx="42">
                  <c:v>7.4999999999999289E-2</c:v>
                </c:pt>
                <c:pt idx="43">
                  <c:v>7.4999999999999289E-2</c:v>
                </c:pt>
                <c:pt idx="44">
                  <c:v>7.4999999999999289E-2</c:v>
                </c:pt>
                <c:pt idx="45">
                  <c:v>7.4999999999999289E-2</c:v>
                </c:pt>
                <c:pt idx="46">
                  <c:v>7.4999999999999289E-2</c:v>
                </c:pt>
                <c:pt idx="47">
                  <c:v>7.4999999999999289E-2</c:v>
                </c:pt>
                <c:pt idx="48">
                  <c:v>7.4999999999999289E-2</c:v>
                </c:pt>
                <c:pt idx="49">
                  <c:v>7.4999999999999289E-2</c:v>
                </c:pt>
                <c:pt idx="50">
                  <c:v>7.4999999999999289E-2</c:v>
                </c:pt>
                <c:pt idx="51">
                  <c:v>7.4999999999999289E-2</c:v>
                </c:pt>
                <c:pt idx="52">
                  <c:v>7.4999999999999289E-2</c:v>
                </c:pt>
                <c:pt idx="53">
                  <c:v>7.4999999999999289E-2</c:v>
                </c:pt>
                <c:pt idx="54">
                  <c:v>7.4999999999999289E-2</c:v>
                </c:pt>
                <c:pt idx="55">
                  <c:v>7.4999999999999289E-2</c:v>
                </c:pt>
                <c:pt idx="56">
                  <c:v>7.4999999999999289E-2</c:v>
                </c:pt>
                <c:pt idx="57">
                  <c:v>7.4999999999999289E-2</c:v>
                </c:pt>
                <c:pt idx="58">
                  <c:v>7.4999999999999289E-2</c:v>
                </c:pt>
                <c:pt idx="59">
                  <c:v>7.4999999999999289E-2</c:v>
                </c:pt>
                <c:pt idx="60">
                  <c:v>7.4999999999999289E-2</c:v>
                </c:pt>
                <c:pt idx="61">
                  <c:v>7.4999999999999289E-2</c:v>
                </c:pt>
                <c:pt idx="62">
                  <c:v>7.4999999999999289E-2</c:v>
                </c:pt>
                <c:pt idx="63">
                  <c:v>7.4999999999999289E-2</c:v>
                </c:pt>
                <c:pt idx="64">
                  <c:v>7.4999999999999289E-2</c:v>
                </c:pt>
                <c:pt idx="65">
                  <c:v>7.4999999999999289E-2</c:v>
                </c:pt>
                <c:pt idx="66">
                  <c:v>7.4999999999999289E-2</c:v>
                </c:pt>
                <c:pt idx="67">
                  <c:v>7.4999999999999289E-2</c:v>
                </c:pt>
                <c:pt idx="68">
                  <c:v>7.4999999999999289E-2</c:v>
                </c:pt>
                <c:pt idx="69">
                  <c:v>7.4999999999999289E-2</c:v>
                </c:pt>
                <c:pt idx="70">
                  <c:v>7.4999999999999289E-2</c:v>
                </c:pt>
                <c:pt idx="71">
                  <c:v>7.4999999999999289E-2</c:v>
                </c:pt>
                <c:pt idx="72">
                  <c:v>7.4999999999999289E-2</c:v>
                </c:pt>
                <c:pt idx="73">
                  <c:v>7.4999999999999289E-2</c:v>
                </c:pt>
                <c:pt idx="74">
                  <c:v>7.4999999999999289E-2</c:v>
                </c:pt>
                <c:pt idx="75">
                  <c:v>7.4999999999999289E-2</c:v>
                </c:pt>
                <c:pt idx="76">
                  <c:v>7.4999999999999289E-2</c:v>
                </c:pt>
                <c:pt idx="77">
                  <c:v>7.4999999999999289E-2</c:v>
                </c:pt>
                <c:pt idx="78">
                  <c:v>7.4999999999999289E-2</c:v>
                </c:pt>
                <c:pt idx="79">
                  <c:v>7.4999999999999289E-2</c:v>
                </c:pt>
                <c:pt idx="80">
                  <c:v>7.4999999999999289E-2</c:v>
                </c:pt>
                <c:pt idx="81">
                  <c:v>7.4999999999999289E-2</c:v>
                </c:pt>
                <c:pt idx="82">
                  <c:v>7.4999999999999289E-2</c:v>
                </c:pt>
                <c:pt idx="83">
                  <c:v>7.4999999999999289E-2</c:v>
                </c:pt>
                <c:pt idx="84">
                  <c:v>7.4999999999999289E-2</c:v>
                </c:pt>
                <c:pt idx="85">
                  <c:v>7.4999999999999289E-2</c:v>
                </c:pt>
                <c:pt idx="86">
                  <c:v>7.4999999999999289E-2</c:v>
                </c:pt>
                <c:pt idx="87">
                  <c:v>7.4999999999999289E-2</c:v>
                </c:pt>
                <c:pt idx="88">
                  <c:v>7.4999999999999289E-2</c:v>
                </c:pt>
                <c:pt idx="89">
                  <c:v>7.4999999999999289E-2</c:v>
                </c:pt>
                <c:pt idx="90">
                  <c:v>7.4999999999999289E-2</c:v>
                </c:pt>
                <c:pt idx="91">
                  <c:v>7.4999999999999289E-2</c:v>
                </c:pt>
                <c:pt idx="92">
                  <c:v>7.4999999999999289E-2</c:v>
                </c:pt>
                <c:pt idx="93">
                  <c:v>7.4999999999999289E-2</c:v>
                </c:pt>
                <c:pt idx="94">
                  <c:v>7.4999999999999289E-2</c:v>
                </c:pt>
                <c:pt idx="95">
                  <c:v>7.4999999999999289E-2</c:v>
                </c:pt>
                <c:pt idx="96">
                  <c:v>7.4999999999999289E-2</c:v>
                </c:pt>
                <c:pt idx="97">
                  <c:v>7.4999999999999289E-2</c:v>
                </c:pt>
                <c:pt idx="98">
                  <c:v>7.4999999999999289E-2</c:v>
                </c:pt>
                <c:pt idx="99">
                  <c:v>7.4999999999999289E-2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10-2C45-89BC-14714ECE5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115600"/>
        <c:axId val="1238235520"/>
      </c:scatterChart>
      <c:valAx>
        <c:axId val="122611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38235520"/>
        <c:crosses val="autoZero"/>
        <c:crossBetween val="midCat"/>
      </c:valAx>
      <c:valAx>
        <c:axId val="123823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2611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673100</xdr:colOff>
      <xdr:row>13</xdr:row>
      <xdr:rowOff>12700</xdr:rowOff>
    </xdr:from>
    <xdr:to>
      <xdr:col>11</xdr:col>
      <xdr:colOff>1130300</xdr:colOff>
      <xdr:row>15</xdr:row>
      <xdr:rowOff>139700</xdr:rowOff>
    </xdr:to>
    <xdr:sp macro="[0]!sampling_makro" textlink="">
      <xdr:nvSpPr>
        <xdr:cNvPr id="2" name="Rounded Rectangle 1">
          <a:extLst>
            <a:ext uri="{FF2B5EF4-FFF2-40B4-BE49-F238E27FC236}">
              <a16:creationId xmlns:a16="http://schemas.microsoft.com/office/drawing/2014/main" id="{AA76A3B7-5588-2542-9FCB-234C6C1829D2}"/>
            </a:ext>
          </a:extLst>
        </xdr:cNvPr>
        <xdr:cNvSpPr/>
      </xdr:nvSpPr>
      <xdr:spPr>
        <a:xfrm>
          <a:off x="16205200" y="2959100"/>
          <a:ext cx="1651000" cy="533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Run Makro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34752</xdr:colOff>
      <xdr:row>15</xdr:row>
      <xdr:rowOff>49876</xdr:rowOff>
    </xdr:from>
    <xdr:to>
      <xdr:col>2</xdr:col>
      <xdr:colOff>744913</xdr:colOff>
      <xdr:row>17</xdr:row>
      <xdr:rowOff>131041</xdr:rowOff>
    </xdr:to>
    <xdr:sp macro="[0]!PSA" textlink="">
      <xdr:nvSpPr>
        <xdr:cNvPr id="3" name="Rounded Rectangle 2">
          <a:extLst>
            <a:ext uri="{FF2B5EF4-FFF2-40B4-BE49-F238E27FC236}">
              <a16:creationId xmlns:a16="http://schemas.microsoft.com/office/drawing/2014/main" id="{0DD11483-C9BB-3B46-9B5E-168B56E56B6A}"/>
            </a:ext>
          </a:extLst>
        </xdr:cNvPr>
        <xdr:cNvSpPr/>
      </xdr:nvSpPr>
      <xdr:spPr>
        <a:xfrm>
          <a:off x="857366" y="3484649"/>
          <a:ext cx="2427547" cy="571847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PSA</a:t>
          </a:r>
        </a:p>
      </xdr:txBody>
    </xdr:sp>
    <xdr:clientData/>
  </xdr:twoCellAnchor>
  <xdr:twoCellAnchor>
    <xdr:from>
      <xdr:col>1</xdr:col>
      <xdr:colOff>1239520</xdr:colOff>
      <xdr:row>24</xdr:row>
      <xdr:rowOff>199276</xdr:rowOff>
    </xdr:from>
    <xdr:to>
      <xdr:col>3</xdr:col>
      <xdr:colOff>599699</xdr:colOff>
      <xdr:row>24</xdr:row>
      <xdr:rowOff>203199</xdr:rowOff>
    </xdr:to>
    <xdr:sp macro="" textlink="">
      <xdr:nvSpPr>
        <xdr:cNvPr id="39" name="Line 1">
          <a:extLst>
            <a:ext uri="{FF2B5EF4-FFF2-40B4-BE49-F238E27FC236}">
              <a16:creationId xmlns:a16="http://schemas.microsoft.com/office/drawing/2014/main" id="{186E7739-EC95-3246-85B9-531FE9C3F86C}"/>
            </a:ext>
          </a:extLst>
        </xdr:cNvPr>
        <xdr:cNvSpPr>
          <a:spLocks noChangeShapeType="1"/>
        </xdr:cNvSpPr>
      </xdr:nvSpPr>
      <xdr:spPr bwMode="auto">
        <a:xfrm flipV="1">
          <a:off x="2062480" y="5451996"/>
          <a:ext cx="1900179" cy="392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821267</xdr:colOff>
      <xdr:row>19</xdr:row>
      <xdr:rowOff>8467</xdr:rowOff>
    </xdr:from>
    <xdr:to>
      <xdr:col>3</xdr:col>
      <xdr:colOff>829732</xdr:colOff>
      <xdr:row>30</xdr:row>
      <xdr:rowOff>42333</xdr:rowOff>
    </xdr:to>
    <xdr:sp macro="" textlink="">
      <xdr:nvSpPr>
        <xdr:cNvPr id="42" name="Line 4">
          <a:extLst>
            <a:ext uri="{FF2B5EF4-FFF2-40B4-BE49-F238E27FC236}">
              <a16:creationId xmlns:a16="http://schemas.microsoft.com/office/drawing/2014/main" id="{59CB0BA9-8D4A-E14A-994F-6E545B7E23EC}"/>
            </a:ext>
          </a:extLst>
        </xdr:cNvPr>
        <xdr:cNvSpPr>
          <a:spLocks noChangeShapeType="1"/>
        </xdr:cNvSpPr>
      </xdr:nvSpPr>
      <xdr:spPr bwMode="auto">
        <a:xfrm>
          <a:off x="6676182" y="4141348"/>
          <a:ext cx="8465" cy="230479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795866</xdr:colOff>
      <xdr:row>30</xdr:row>
      <xdr:rowOff>25400</xdr:rowOff>
    </xdr:from>
    <xdr:to>
      <xdr:col>6</xdr:col>
      <xdr:colOff>829732</xdr:colOff>
      <xdr:row>30</xdr:row>
      <xdr:rowOff>25400</xdr:rowOff>
    </xdr:to>
    <xdr:sp macro="" textlink="">
      <xdr:nvSpPr>
        <xdr:cNvPr id="43" name="Line 6">
          <a:extLst>
            <a:ext uri="{FF2B5EF4-FFF2-40B4-BE49-F238E27FC236}">
              <a16:creationId xmlns:a16="http://schemas.microsoft.com/office/drawing/2014/main" id="{A931E989-FF07-2645-ACAE-F35CC1548A9F}"/>
            </a:ext>
          </a:extLst>
        </xdr:cNvPr>
        <xdr:cNvSpPr>
          <a:spLocks noChangeShapeType="1"/>
        </xdr:cNvSpPr>
      </xdr:nvSpPr>
      <xdr:spPr bwMode="auto">
        <a:xfrm>
          <a:off x="6650781" y="6429214"/>
          <a:ext cx="248776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820442</xdr:colOff>
      <xdr:row>18</xdr:row>
      <xdr:rowOff>201698</xdr:rowOff>
    </xdr:from>
    <xdr:to>
      <xdr:col>7</xdr:col>
      <xdr:colOff>50800</xdr:colOff>
      <xdr:row>18</xdr:row>
      <xdr:rowOff>202300</xdr:rowOff>
    </xdr:to>
    <xdr:sp macro="" textlink="">
      <xdr:nvSpPr>
        <xdr:cNvPr id="44" name="Line 8">
          <a:extLst>
            <a:ext uri="{FF2B5EF4-FFF2-40B4-BE49-F238E27FC236}">
              <a16:creationId xmlns:a16="http://schemas.microsoft.com/office/drawing/2014/main" id="{CE16EABA-65C9-BE4C-924F-3EA047916475}"/>
            </a:ext>
          </a:extLst>
        </xdr:cNvPr>
        <xdr:cNvSpPr>
          <a:spLocks noChangeShapeType="1"/>
        </xdr:cNvSpPr>
      </xdr:nvSpPr>
      <xdr:spPr bwMode="auto">
        <a:xfrm flipV="1">
          <a:off x="6675357" y="4130088"/>
          <a:ext cx="2512985" cy="602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671380</xdr:colOff>
      <xdr:row>18</xdr:row>
      <xdr:rowOff>92028</xdr:rowOff>
    </xdr:from>
    <xdr:to>
      <xdr:col>7</xdr:col>
      <xdr:colOff>125280</xdr:colOff>
      <xdr:row>19</xdr:row>
      <xdr:rowOff>120005</xdr:rowOff>
    </xdr:to>
    <xdr:sp macro="" textlink="">
      <xdr:nvSpPr>
        <xdr:cNvPr id="45" name="Oval 10">
          <a:extLst>
            <a:ext uri="{FF2B5EF4-FFF2-40B4-BE49-F238E27FC236}">
              <a16:creationId xmlns:a16="http://schemas.microsoft.com/office/drawing/2014/main" id="{4CDE3F7A-9574-2C45-8D31-39698BA621EF}"/>
            </a:ext>
          </a:extLst>
        </xdr:cNvPr>
        <xdr:cNvSpPr>
          <a:spLocks noChangeArrowheads="1"/>
        </xdr:cNvSpPr>
      </xdr:nvSpPr>
      <xdr:spPr bwMode="auto">
        <a:xfrm>
          <a:off x="8980194" y="4020418"/>
          <a:ext cx="282628" cy="232468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10539</xdr:colOff>
      <xdr:row>15</xdr:row>
      <xdr:rowOff>194978</xdr:rowOff>
    </xdr:from>
    <xdr:to>
      <xdr:col>7</xdr:col>
      <xdr:colOff>12700</xdr:colOff>
      <xdr:row>18</xdr:row>
      <xdr:rowOff>101599</xdr:rowOff>
    </xdr:to>
    <xdr:sp macro="" textlink="">
      <xdr:nvSpPr>
        <xdr:cNvPr id="46" name="Line 21">
          <a:extLst>
            <a:ext uri="{FF2B5EF4-FFF2-40B4-BE49-F238E27FC236}">
              <a16:creationId xmlns:a16="http://schemas.microsoft.com/office/drawing/2014/main" id="{94F4A1B6-4EE7-6640-9E20-E8F83EEF1107}"/>
            </a:ext>
          </a:extLst>
        </xdr:cNvPr>
        <xdr:cNvSpPr>
          <a:spLocks noChangeShapeType="1"/>
        </xdr:cNvSpPr>
      </xdr:nvSpPr>
      <xdr:spPr bwMode="auto">
        <a:xfrm flipH="1" flipV="1">
          <a:off x="9148081" y="3499131"/>
          <a:ext cx="2161" cy="53085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8467</xdr:colOff>
      <xdr:row>19</xdr:row>
      <xdr:rowOff>101600</xdr:rowOff>
    </xdr:from>
    <xdr:to>
      <xdr:col>7</xdr:col>
      <xdr:colOff>8467</xdr:colOff>
      <xdr:row>22</xdr:row>
      <xdr:rowOff>152400</xdr:rowOff>
    </xdr:to>
    <xdr:sp macro="" textlink="">
      <xdr:nvSpPr>
        <xdr:cNvPr id="47" name="Line 23">
          <a:extLst>
            <a:ext uri="{FF2B5EF4-FFF2-40B4-BE49-F238E27FC236}">
              <a16:creationId xmlns:a16="http://schemas.microsoft.com/office/drawing/2014/main" id="{6CCB9B36-50D7-FA4A-9C4B-04D01DCCBC2C}"/>
            </a:ext>
          </a:extLst>
        </xdr:cNvPr>
        <xdr:cNvSpPr>
          <a:spLocks noChangeShapeType="1"/>
        </xdr:cNvSpPr>
      </xdr:nvSpPr>
      <xdr:spPr bwMode="auto">
        <a:xfrm flipH="1">
          <a:off x="9146009" y="4234481"/>
          <a:ext cx="0" cy="675038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12700</xdr:colOff>
      <xdr:row>15</xdr:row>
      <xdr:rowOff>197666</xdr:rowOff>
    </xdr:from>
    <xdr:to>
      <xdr:col>9</xdr:col>
      <xdr:colOff>800100</xdr:colOff>
      <xdr:row>15</xdr:row>
      <xdr:rowOff>203199</xdr:rowOff>
    </xdr:to>
    <xdr:sp macro="" textlink="">
      <xdr:nvSpPr>
        <xdr:cNvPr id="48" name="Line 24">
          <a:extLst>
            <a:ext uri="{FF2B5EF4-FFF2-40B4-BE49-F238E27FC236}">
              <a16:creationId xmlns:a16="http://schemas.microsoft.com/office/drawing/2014/main" id="{F58BBC9E-41D7-EE44-854F-4EBC247B3AAE}"/>
            </a:ext>
          </a:extLst>
        </xdr:cNvPr>
        <xdr:cNvSpPr>
          <a:spLocks noChangeShapeType="1"/>
        </xdr:cNvSpPr>
      </xdr:nvSpPr>
      <xdr:spPr bwMode="auto">
        <a:xfrm>
          <a:off x="9150242" y="3501819"/>
          <a:ext cx="2444858" cy="55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821266</xdr:colOff>
      <xdr:row>22</xdr:row>
      <xdr:rowOff>139699</xdr:rowOff>
    </xdr:from>
    <xdr:to>
      <xdr:col>10</xdr:col>
      <xdr:colOff>0</xdr:colOff>
      <xdr:row>22</xdr:row>
      <xdr:rowOff>169332</xdr:rowOff>
    </xdr:to>
    <xdr:sp macro="" textlink="">
      <xdr:nvSpPr>
        <xdr:cNvPr id="49" name="Line 26">
          <a:extLst>
            <a:ext uri="{FF2B5EF4-FFF2-40B4-BE49-F238E27FC236}">
              <a16:creationId xmlns:a16="http://schemas.microsoft.com/office/drawing/2014/main" id="{ED982B82-2505-6D4C-930C-8EF7EBE7A091}"/>
            </a:ext>
          </a:extLst>
        </xdr:cNvPr>
        <xdr:cNvSpPr>
          <a:spLocks noChangeShapeType="1"/>
        </xdr:cNvSpPr>
      </xdr:nvSpPr>
      <xdr:spPr bwMode="auto">
        <a:xfrm flipV="1">
          <a:off x="9130080" y="4896818"/>
          <a:ext cx="2493649" cy="29633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443852</xdr:colOff>
      <xdr:row>22</xdr:row>
      <xdr:rowOff>19990</xdr:rowOff>
    </xdr:from>
    <xdr:to>
      <xdr:col>10</xdr:col>
      <xdr:colOff>498</xdr:colOff>
      <xdr:row>23</xdr:row>
      <xdr:rowOff>32690</xdr:rowOff>
    </xdr:to>
    <xdr:sp macro="" textlink="">
      <xdr:nvSpPr>
        <xdr:cNvPr id="50" name="AutoShape 27">
          <a:extLst>
            <a:ext uri="{FF2B5EF4-FFF2-40B4-BE49-F238E27FC236}">
              <a16:creationId xmlns:a16="http://schemas.microsoft.com/office/drawing/2014/main" id="{98EF1168-EF63-A849-9ABD-64ED43219ECA}"/>
            </a:ext>
          </a:extLst>
        </xdr:cNvPr>
        <xdr:cNvSpPr>
          <a:spLocks noChangeArrowheads="1"/>
        </xdr:cNvSpPr>
      </xdr:nvSpPr>
      <xdr:spPr bwMode="auto">
        <a:xfrm rot="16200000">
          <a:off x="8804548" y="5091629"/>
          <a:ext cx="253722" cy="38168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828261</xdr:colOff>
      <xdr:row>27</xdr:row>
      <xdr:rowOff>12699</xdr:rowOff>
    </xdr:from>
    <xdr:to>
      <xdr:col>6</xdr:col>
      <xdr:colOff>828261</xdr:colOff>
      <xdr:row>29</xdr:row>
      <xdr:rowOff>177922</xdr:rowOff>
    </xdr:to>
    <xdr:sp macro="" textlink="">
      <xdr:nvSpPr>
        <xdr:cNvPr id="51" name="Line 28">
          <a:extLst>
            <a:ext uri="{FF2B5EF4-FFF2-40B4-BE49-F238E27FC236}">
              <a16:creationId xmlns:a16="http://schemas.microsoft.com/office/drawing/2014/main" id="{02BE3C4B-45D3-DF4C-BBE5-0B36CF08DB12}"/>
            </a:ext>
          </a:extLst>
        </xdr:cNvPr>
        <xdr:cNvSpPr>
          <a:spLocks noChangeShapeType="1"/>
        </xdr:cNvSpPr>
      </xdr:nvSpPr>
      <xdr:spPr bwMode="auto">
        <a:xfrm flipV="1">
          <a:off x="9137075" y="5792275"/>
          <a:ext cx="0" cy="584969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828261</xdr:colOff>
      <xdr:row>30</xdr:row>
      <xdr:rowOff>50800</xdr:rowOff>
    </xdr:from>
    <xdr:to>
      <xdr:col>7</xdr:col>
      <xdr:colOff>6136</xdr:colOff>
      <xdr:row>33</xdr:row>
      <xdr:rowOff>196329</xdr:rowOff>
    </xdr:to>
    <xdr:sp macro="" textlink="">
      <xdr:nvSpPr>
        <xdr:cNvPr id="52" name="Line 29">
          <a:extLst>
            <a:ext uri="{FF2B5EF4-FFF2-40B4-BE49-F238E27FC236}">
              <a16:creationId xmlns:a16="http://schemas.microsoft.com/office/drawing/2014/main" id="{16C43798-9640-1E4C-BF4E-D06EF332EF6E}"/>
            </a:ext>
          </a:extLst>
        </xdr:cNvPr>
        <xdr:cNvSpPr>
          <a:spLocks noChangeShapeType="1"/>
        </xdr:cNvSpPr>
      </xdr:nvSpPr>
      <xdr:spPr bwMode="auto">
        <a:xfrm>
          <a:off x="9137075" y="6454614"/>
          <a:ext cx="6603" cy="769766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27</xdr:row>
      <xdr:rowOff>0</xdr:rowOff>
    </xdr:from>
    <xdr:to>
      <xdr:col>10</xdr:col>
      <xdr:colOff>12700</xdr:colOff>
      <xdr:row>27</xdr:row>
      <xdr:rowOff>0</xdr:rowOff>
    </xdr:to>
    <xdr:sp macro="" textlink="">
      <xdr:nvSpPr>
        <xdr:cNvPr id="53" name="Line 30">
          <a:extLst>
            <a:ext uri="{FF2B5EF4-FFF2-40B4-BE49-F238E27FC236}">
              <a16:creationId xmlns:a16="http://schemas.microsoft.com/office/drawing/2014/main" id="{944478AC-9348-894C-B271-741597BEBE7E}"/>
            </a:ext>
          </a:extLst>
        </xdr:cNvPr>
        <xdr:cNvSpPr>
          <a:spLocks noChangeShapeType="1"/>
        </xdr:cNvSpPr>
      </xdr:nvSpPr>
      <xdr:spPr bwMode="auto">
        <a:xfrm>
          <a:off x="9137542" y="5779576"/>
          <a:ext cx="2498887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825623</xdr:colOff>
      <xdr:row>33</xdr:row>
      <xdr:rowOff>201052</xdr:rowOff>
    </xdr:from>
    <xdr:to>
      <xdr:col>10</xdr:col>
      <xdr:colOff>10062</xdr:colOff>
      <xdr:row>33</xdr:row>
      <xdr:rowOff>201052</xdr:rowOff>
    </xdr:to>
    <xdr:sp macro="" textlink="">
      <xdr:nvSpPr>
        <xdr:cNvPr id="54" name="Line 31">
          <a:extLst>
            <a:ext uri="{FF2B5EF4-FFF2-40B4-BE49-F238E27FC236}">
              <a16:creationId xmlns:a16="http://schemas.microsoft.com/office/drawing/2014/main" id="{8580B6AA-2159-E949-B49C-49738EA14F78}"/>
            </a:ext>
          </a:extLst>
        </xdr:cNvPr>
        <xdr:cNvSpPr>
          <a:spLocks noChangeShapeType="1"/>
        </xdr:cNvSpPr>
      </xdr:nvSpPr>
      <xdr:spPr bwMode="auto">
        <a:xfrm>
          <a:off x="9134437" y="7229103"/>
          <a:ext cx="2499354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450200</xdr:colOff>
      <xdr:row>15</xdr:row>
      <xdr:rowOff>89508</xdr:rowOff>
    </xdr:from>
    <xdr:to>
      <xdr:col>10</xdr:col>
      <xdr:colOff>5700</xdr:colOff>
      <xdr:row>16</xdr:row>
      <xdr:rowOff>102209</xdr:rowOff>
    </xdr:to>
    <xdr:sp macro="" textlink="">
      <xdr:nvSpPr>
        <xdr:cNvPr id="55" name="AutoShape 12">
          <a:extLst>
            <a:ext uri="{FF2B5EF4-FFF2-40B4-BE49-F238E27FC236}">
              <a16:creationId xmlns:a16="http://schemas.microsoft.com/office/drawing/2014/main" id="{372409DE-97BD-C742-BCB4-D466A3583625}"/>
            </a:ext>
          </a:extLst>
        </xdr:cNvPr>
        <xdr:cNvSpPr>
          <a:spLocks noChangeArrowheads="1"/>
        </xdr:cNvSpPr>
      </xdr:nvSpPr>
      <xdr:spPr bwMode="auto">
        <a:xfrm rot="16200000">
          <a:off x="11328719" y="3310142"/>
          <a:ext cx="217192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445105</xdr:colOff>
      <xdr:row>26</xdr:row>
      <xdr:rowOff>98164</xdr:rowOff>
    </xdr:from>
    <xdr:to>
      <xdr:col>10</xdr:col>
      <xdr:colOff>605</xdr:colOff>
      <xdr:row>27</xdr:row>
      <xdr:rowOff>110864</xdr:rowOff>
    </xdr:to>
    <xdr:sp macro="" textlink="">
      <xdr:nvSpPr>
        <xdr:cNvPr id="56" name="AutoShape 12">
          <a:extLst>
            <a:ext uri="{FF2B5EF4-FFF2-40B4-BE49-F238E27FC236}">
              <a16:creationId xmlns:a16="http://schemas.microsoft.com/office/drawing/2014/main" id="{6CAFD712-34D7-504C-8330-B4D15215EDD8}"/>
            </a:ext>
          </a:extLst>
        </xdr:cNvPr>
        <xdr:cNvSpPr>
          <a:spLocks noChangeArrowheads="1"/>
        </xdr:cNvSpPr>
      </xdr:nvSpPr>
      <xdr:spPr bwMode="auto">
        <a:xfrm rot="16200000">
          <a:off x="11323624" y="5589730"/>
          <a:ext cx="217191" cy="384229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438682</xdr:colOff>
      <xdr:row>33</xdr:row>
      <xdr:rowOff>91047</xdr:rowOff>
    </xdr:from>
    <xdr:to>
      <xdr:col>9</xdr:col>
      <xdr:colOff>820365</xdr:colOff>
      <xdr:row>34</xdr:row>
      <xdr:rowOff>103747</xdr:rowOff>
    </xdr:to>
    <xdr:sp macro="" textlink="">
      <xdr:nvSpPr>
        <xdr:cNvPr id="57" name="AutoShape 12">
          <a:extLst>
            <a:ext uri="{FF2B5EF4-FFF2-40B4-BE49-F238E27FC236}">
              <a16:creationId xmlns:a16="http://schemas.microsoft.com/office/drawing/2014/main" id="{C93B7BD1-A52C-0E4D-BEE7-4A32911EB198}"/>
            </a:ext>
          </a:extLst>
        </xdr:cNvPr>
        <xdr:cNvSpPr>
          <a:spLocks noChangeArrowheads="1"/>
        </xdr:cNvSpPr>
      </xdr:nvSpPr>
      <xdr:spPr bwMode="auto">
        <a:xfrm rot="16200000">
          <a:off x="11315928" y="7036852"/>
          <a:ext cx="217191" cy="381683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687150</xdr:colOff>
      <xdr:row>29</xdr:row>
      <xdr:rowOff>122705</xdr:rowOff>
    </xdr:from>
    <xdr:to>
      <xdr:col>7</xdr:col>
      <xdr:colOff>141050</xdr:colOff>
      <xdr:row>30</xdr:row>
      <xdr:rowOff>122705</xdr:rowOff>
    </xdr:to>
    <xdr:sp macro="" textlink="">
      <xdr:nvSpPr>
        <xdr:cNvPr id="58" name="Oval 11">
          <a:extLst>
            <a:ext uri="{FF2B5EF4-FFF2-40B4-BE49-F238E27FC236}">
              <a16:creationId xmlns:a16="http://schemas.microsoft.com/office/drawing/2014/main" id="{C4A9FEA8-BDB1-6049-AA5C-00A792526FC6}"/>
            </a:ext>
          </a:extLst>
        </xdr:cNvPr>
        <xdr:cNvSpPr>
          <a:spLocks noChangeArrowheads="1"/>
        </xdr:cNvSpPr>
      </xdr:nvSpPr>
      <xdr:spPr bwMode="auto">
        <a:xfrm>
          <a:off x="8995964" y="6322027"/>
          <a:ext cx="282628" cy="204492"/>
        </a:xfrm>
        <a:prstGeom prst="ellipse">
          <a:avLst/>
        </a:prstGeom>
        <a:solidFill>
          <a:srgbClr val="002060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3</xdr:col>
      <xdr:colOff>650925</xdr:colOff>
      <xdr:row>24</xdr:row>
      <xdr:rowOff>19872</xdr:rowOff>
    </xdr:from>
    <xdr:to>
      <xdr:col>4</xdr:col>
      <xdr:colOff>195613</xdr:colOff>
      <xdr:row>25</xdr:row>
      <xdr:rowOff>192634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5BAB076D-3087-4243-8ED3-A62ABB0B7904}"/>
            </a:ext>
          </a:extLst>
        </xdr:cNvPr>
        <xdr:cNvSpPr/>
      </xdr:nvSpPr>
      <xdr:spPr>
        <a:xfrm rot="2708568">
          <a:off x="6503922" y="5187892"/>
          <a:ext cx="377253" cy="373417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454133</xdr:colOff>
      <xdr:row>15</xdr:row>
      <xdr:rowOff>92336</xdr:rowOff>
    </xdr:from>
    <xdr:to>
      <xdr:col>10</xdr:col>
      <xdr:colOff>10031</xdr:colOff>
      <xdr:row>16</xdr:row>
      <xdr:rowOff>105036</xdr:rowOff>
    </xdr:to>
    <xdr:sp macro="" textlink="">
      <xdr:nvSpPr>
        <xdr:cNvPr id="60" name="AutoShape 12">
          <a:extLst>
            <a:ext uri="{FF2B5EF4-FFF2-40B4-BE49-F238E27FC236}">
              <a16:creationId xmlns:a16="http://schemas.microsoft.com/office/drawing/2014/main" id="{78D569EA-D106-9649-818D-BE413AE65617}"/>
            </a:ext>
          </a:extLst>
        </xdr:cNvPr>
        <xdr:cNvSpPr>
          <a:spLocks noChangeArrowheads="1"/>
        </xdr:cNvSpPr>
      </xdr:nvSpPr>
      <xdr:spPr bwMode="auto">
        <a:xfrm rot="16200000">
          <a:off x="8824417" y="3309165"/>
          <a:ext cx="215639" cy="380743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26</xdr:row>
      <xdr:rowOff>101606</xdr:rowOff>
    </xdr:from>
    <xdr:to>
      <xdr:col>10</xdr:col>
      <xdr:colOff>3485</xdr:colOff>
      <xdr:row>27</xdr:row>
      <xdr:rowOff>114306</xdr:rowOff>
    </xdr:to>
    <xdr:sp macro="" textlink="">
      <xdr:nvSpPr>
        <xdr:cNvPr id="61" name="AutoShape 12">
          <a:extLst>
            <a:ext uri="{FF2B5EF4-FFF2-40B4-BE49-F238E27FC236}">
              <a16:creationId xmlns:a16="http://schemas.microsoft.com/office/drawing/2014/main" id="{2E107DA2-E4F4-3640-BFE1-98B5FCE69440}"/>
            </a:ext>
          </a:extLst>
        </xdr:cNvPr>
        <xdr:cNvSpPr>
          <a:spLocks noChangeArrowheads="1"/>
        </xdr:cNvSpPr>
      </xdr:nvSpPr>
      <xdr:spPr bwMode="auto">
        <a:xfrm rot="16200000">
          <a:off x="8807909" y="6137707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447587</xdr:colOff>
      <xdr:row>33</xdr:row>
      <xdr:rowOff>73796</xdr:rowOff>
    </xdr:from>
    <xdr:to>
      <xdr:col>10</xdr:col>
      <xdr:colOff>3485</xdr:colOff>
      <xdr:row>34</xdr:row>
      <xdr:rowOff>86496</xdr:rowOff>
    </xdr:to>
    <xdr:sp macro="" textlink="">
      <xdr:nvSpPr>
        <xdr:cNvPr id="62" name="AutoShape 12">
          <a:extLst>
            <a:ext uri="{FF2B5EF4-FFF2-40B4-BE49-F238E27FC236}">
              <a16:creationId xmlns:a16="http://schemas.microsoft.com/office/drawing/2014/main" id="{2853D72F-E405-174C-884B-C1EF424EB28A}"/>
            </a:ext>
          </a:extLst>
        </xdr:cNvPr>
        <xdr:cNvSpPr>
          <a:spLocks noChangeArrowheads="1"/>
        </xdr:cNvSpPr>
      </xdr:nvSpPr>
      <xdr:spPr bwMode="auto">
        <a:xfrm rot="16200000">
          <a:off x="8807909" y="7815590"/>
          <a:ext cx="253722" cy="380935"/>
        </a:xfrm>
        <a:prstGeom prst="flowChartExtract">
          <a:avLst/>
        </a:prstGeom>
        <a:solidFill>
          <a:srgbClr val="ED018C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36884</xdr:colOff>
      <xdr:row>2</xdr:row>
      <xdr:rowOff>6515</xdr:rowOff>
    </xdr:from>
    <xdr:to>
      <xdr:col>33</xdr:col>
      <xdr:colOff>110435</xdr:colOff>
      <xdr:row>33</xdr:row>
      <xdr:rowOff>13805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E91EBC2-1B09-6E4A-B652-BCE32AF5A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507199</xdr:colOff>
      <xdr:row>0</xdr:row>
      <xdr:rowOff>102974</xdr:rowOff>
    </xdr:from>
    <xdr:to>
      <xdr:col>13</xdr:col>
      <xdr:colOff>775615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B2DB47D-F9D4-984D-8F16-424555C526FB}"/>
            </a:ext>
          </a:extLst>
        </xdr:cNvPr>
        <xdr:cNvSpPr txBox="1"/>
      </xdr:nvSpPr>
      <xdr:spPr>
        <a:xfrm>
          <a:off x="6342334" y="102974"/>
          <a:ext cx="6206524" cy="2711621"/>
        </a:xfrm>
        <a:prstGeom prst="flowChartAlternateProcess">
          <a:avLst/>
        </a:prstGeom>
        <a:solidFill>
          <a:schemeClr val="bg1"/>
        </a:solidFill>
        <a:ln w="76200" cmpd="sng">
          <a:solidFill>
            <a:schemeClr val="accent5">
              <a:lumMod val="75000"/>
            </a:schemeClr>
          </a:solidFill>
        </a:ln>
        <a:effectLst>
          <a:outerShdw blurRad="101600" dist="38100" dir="21540000" sx="101000" sy="101000" algn="ctr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tIns="91440" rIns="182880" bIns="91440" rtlCol="0" anchor="t"/>
        <a:lstStyle/>
        <a:p>
          <a:r>
            <a:rPr lang="en-GB" sz="1600" b="1">
              <a:solidFill>
                <a:schemeClr val="tx1"/>
              </a:solidFill>
              <a:latin typeface="+mj-lt"/>
            </a:rPr>
            <a:t>TASK: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r>
            <a:rPr lang="en-GB" sz="1600" b="1">
              <a:solidFill>
                <a:schemeClr val="tx1"/>
              </a:solidFill>
              <a:latin typeface="+mj-lt"/>
            </a:rPr>
            <a:t>Make this decision tree probabilistic.</a:t>
          </a:r>
          <a:r>
            <a:rPr lang="en-GB" sz="1600" b="1" baseline="0">
              <a:solidFill>
                <a:schemeClr val="tx1"/>
              </a:solidFill>
              <a:latin typeface="+mj-lt"/>
            </a:rPr>
            <a:t> </a:t>
          </a:r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r>
            <a:rPr lang="en-GB" sz="1400" b="0" baseline="0">
              <a:solidFill>
                <a:schemeClr val="tx1"/>
              </a:solidFill>
              <a:latin typeface="+mj-lt"/>
            </a:rPr>
            <a:t>1. Use Gamma distributions for  Costs cure and Costs progression. For cure, set alpha to 200 and beta to 2.5. For progression, set alpha to 1000 and beta to 2.</a:t>
          </a: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>
              <a:solidFill>
                <a:schemeClr val="tx1"/>
              </a:solidFill>
              <a:latin typeface="+mj-lt"/>
            </a:rPr>
            <a:t>2.</a:t>
          </a:r>
          <a:r>
            <a:rPr lang="en-GB" sz="1400" b="0" baseline="0">
              <a:solidFill>
                <a:schemeClr val="tx1"/>
              </a:solidFill>
              <a:latin typeface="+mj-lt"/>
            </a:rPr>
            <a:t> Use beta distributions for p(success).  Set alpha and beta for Supimab to 4.5 and 5. For Dupimab, set them to 3.5 and 5. 	</a:t>
          </a:r>
          <a:endParaRPr lang="en-GB" sz="1400" b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  <a:p>
          <a:r>
            <a:rPr lang="en-GB" sz="1400" b="0" i="1">
              <a:solidFill>
                <a:schemeClr val="tx1"/>
              </a:solidFill>
              <a:latin typeface="+mj-lt"/>
            </a:rPr>
            <a:t>     [The</a:t>
          </a:r>
          <a:r>
            <a:rPr lang="en-GB" sz="1400" b="0" i="1" baseline="0">
              <a:solidFill>
                <a:schemeClr val="tx1"/>
              </a:solidFill>
              <a:latin typeface="+mj-lt"/>
            </a:rPr>
            <a:t> Solution can be found below – see cell A200]</a:t>
          </a:r>
        </a:p>
        <a:p>
          <a:endParaRPr lang="en-GB" sz="1400" b="0" baseline="0">
            <a:solidFill>
              <a:schemeClr val="tx1"/>
            </a:solidFill>
            <a:latin typeface="+mj-lt"/>
          </a:endParaRPr>
        </a:p>
        <a:p>
          <a:endParaRPr lang="en-GB" sz="1400" b="0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5398-082E-4143-8A65-A9D16CDF3B9B}">
  <sheetPr codeName="Sheet3"/>
  <dimension ref="B3:Y109"/>
  <sheetViews>
    <sheetView tabSelected="1" zoomScale="137" workbookViewId="0">
      <selection activeCell="B5" sqref="B5"/>
    </sheetView>
  </sheetViews>
  <sheetFormatPr baseColWidth="10" defaultRowHeight="16" x14ac:dyDescent="0.2"/>
  <cols>
    <col min="2" max="2" width="25.1640625" customWidth="1"/>
    <col min="3" max="3" width="58.6640625" customWidth="1"/>
    <col min="4" max="4" width="43.6640625" customWidth="1"/>
    <col min="6" max="6" width="14.83203125" customWidth="1"/>
    <col min="7" max="7" width="13.83203125" customWidth="1"/>
    <col min="8" max="8" width="27.1640625" customWidth="1"/>
    <col min="9" max="9" width="10.83203125" customWidth="1"/>
    <col min="11" max="11" width="15.6640625" customWidth="1"/>
    <col min="12" max="12" width="24" customWidth="1"/>
    <col min="13" max="13" width="20.6640625" customWidth="1"/>
  </cols>
  <sheetData>
    <row r="3" spans="2:25" ht="17" thickBot="1" x14ac:dyDescent="0.25">
      <c r="B3" s="50"/>
      <c r="C3" s="50"/>
      <c r="D3" s="50"/>
      <c r="E3" s="50"/>
      <c r="F3" s="50"/>
    </row>
    <row r="4" spans="2:25" ht="22" thickBot="1" x14ac:dyDescent="0.3">
      <c r="B4" s="117" t="s">
        <v>36</v>
      </c>
      <c r="C4" s="118"/>
      <c r="D4" s="119"/>
      <c r="E4" s="50"/>
      <c r="F4" s="145" t="s">
        <v>39</v>
      </c>
      <c r="G4" s="146"/>
      <c r="H4" s="147"/>
      <c r="K4" s="120" t="s">
        <v>51</v>
      </c>
      <c r="L4" s="121"/>
      <c r="M4" s="122"/>
    </row>
    <row r="5" spans="2:25" ht="22" thickTop="1" x14ac:dyDescent="0.25">
      <c r="B5" s="104" t="s">
        <v>37</v>
      </c>
      <c r="C5" s="105" t="s">
        <v>63</v>
      </c>
      <c r="D5" s="106" t="s">
        <v>64</v>
      </c>
      <c r="E5" s="50"/>
      <c r="F5" s="148" t="s">
        <v>53</v>
      </c>
      <c r="G5" s="149"/>
      <c r="H5" s="150"/>
      <c r="K5" s="148" t="s">
        <v>54</v>
      </c>
      <c r="L5" s="149"/>
      <c r="M5" s="150"/>
    </row>
    <row r="6" spans="2:25" ht="21" x14ac:dyDescent="0.25">
      <c r="B6" s="107" t="s">
        <v>66</v>
      </c>
      <c r="C6" s="108" t="s">
        <v>40</v>
      </c>
      <c r="D6" s="109" t="s">
        <v>40</v>
      </c>
      <c r="E6" s="50"/>
      <c r="F6" s="148" t="s">
        <v>48</v>
      </c>
      <c r="G6" s="149"/>
      <c r="H6" s="150"/>
      <c r="K6" s="148" t="s">
        <v>55</v>
      </c>
      <c r="L6" s="149"/>
      <c r="M6" s="150"/>
    </row>
    <row r="7" spans="2:25" ht="21" x14ac:dyDescent="0.25">
      <c r="B7" s="107" t="s">
        <v>29</v>
      </c>
      <c r="C7" s="108" t="s">
        <v>30</v>
      </c>
      <c r="D7" s="109" t="s">
        <v>42</v>
      </c>
      <c r="E7" s="50"/>
      <c r="F7" s="148" t="s">
        <v>49</v>
      </c>
      <c r="G7" s="149"/>
      <c r="H7" s="150"/>
      <c r="K7" s="148" t="s">
        <v>56</v>
      </c>
      <c r="L7" s="149"/>
      <c r="M7" s="150"/>
    </row>
    <row r="8" spans="2:25" ht="21" x14ac:dyDescent="0.25">
      <c r="B8" s="107" t="s">
        <v>31</v>
      </c>
      <c r="C8" s="108" t="s">
        <v>44</v>
      </c>
      <c r="D8" s="109" t="s">
        <v>43</v>
      </c>
      <c r="E8" s="50"/>
      <c r="F8" s="151"/>
      <c r="G8" s="149"/>
      <c r="H8" s="150"/>
      <c r="K8" s="151"/>
      <c r="L8" s="149"/>
      <c r="M8" s="150"/>
    </row>
    <row r="9" spans="2:25" ht="22" thickBot="1" x14ac:dyDescent="0.3">
      <c r="B9" s="107" t="s">
        <v>32</v>
      </c>
      <c r="C9" s="108" t="s">
        <v>33</v>
      </c>
      <c r="D9" s="109" t="s">
        <v>45</v>
      </c>
      <c r="E9" s="50"/>
      <c r="F9" s="59" t="s">
        <v>50</v>
      </c>
      <c r="G9" s="60" t="s">
        <v>40</v>
      </c>
      <c r="H9" s="61" t="s">
        <v>52</v>
      </c>
      <c r="K9" s="53" t="s">
        <v>50</v>
      </c>
      <c r="L9" s="54" t="s">
        <v>57</v>
      </c>
      <c r="M9" s="54" t="s">
        <v>58</v>
      </c>
    </row>
    <row r="10" spans="2:25" ht="22" thickTop="1" x14ac:dyDescent="0.25">
      <c r="B10" s="107" t="s">
        <v>34</v>
      </c>
      <c r="C10" s="108" t="s">
        <v>35</v>
      </c>
      <c r="D10" s="109" t="s">
        <v>46</v>
      </c>
      <c r="E10" s="50"/>
      <c r="F10" s="52">
        <v>1.5</v>
      </c>
      <c r="G10" s="55">
        <f t="shared" ref="G10:G19" ca="1" si="0">RAND()</f>
        <v>0.7526344197284266</v>
      </c>
      <c r="H10" s="51">
        <f ca="1">_xlfn.NORM.INV(G10,$F$10,$F$11)</f>
        <v>1.6365606548148528</v>
      </c>
      <c r="K10" s="52">
        <v>1.5</v>
      </c>
      <c r="L10" s="55">
        <f ca="1">_xlfn.NORM.INV(RAND(),K10,K11)</f>
        <v>1.5445637419822518</v>
      </c>
      <c r="M10" s="51">
        <v>1.4729975366075707</v>
      </c>
      <c r="Y10">
        <v>1.6999445971991061</v>
      </c>
    </row>
    <row r="11" spans="2:25" ht="22" thickBot="1" x14ac:dyDescent="0.3">
      <c r="B11" s="110" t="s">
        <v>38</v>
      </c>
      <c r="C11" s="111" t="s">
        <v>41</v>
      </c>
      <c r="D11" s="112" t="s">
        <v>47</v>
      </c>
      <c r="E11" s="50"/>
      <c r="F11" s="52">
        <v>0.2</v>
      </c>
      <c r="G11" s="55">
        <f t="shared" ca="1" si="0"/>
        <v>0.29977455357504779</v>
      </c>
      <c r="H11" s="51">
        <f t="shared" ref="H11:H19" ca="1" si="1">_xlfn.NORM.INV(G11,$F$10,$F$11)</f>
        <v>1.3949901939392695</v>
      </c>
      <c r="K11" s="52">
        <v>0.2</v>
      </c>
      <c r="L11" s="55"/>
      <c r="M11" s="51">
        <v>1.6684568146554468</v>
      </c>
      <c r="Y11">
        <v>1.8776425886167358</v>
      </c>
    </row>
    <row r="12" spans="2:25" x14ac:dyDescent="0.2">
      <c r="B12" s="50"/>
      <c r="C12" s="50"/>
      <c r="D12" s="50"/>
      <c r="E12" s="50"/>
      <c r="F12" s="52"/>
      <c r="G12" s="55">
        <f t="shared" ca="1" si="0"/>
        <v>6.0830333855195207E-3</v>
      </c>
      <c r="H12" s="51">
        <f t="shared" ca="1" si="1"/>
        <v>0.99854189412023442</v>
      </c>
      <c r="K12" s="52"/>
      <c r="L12" s="55"/>
      <c r="M12" s="51">
        <v>1.2089606583654906</v>
      </c>
      <c r="Y12">
        <v>1.2114183804926375</v>
      </c>
    </row>
    <row r="13" spans="2:25" x14ac:dyDescent="0.2">
      <c r="B13" s="50"/>
      <c r="C13" s="50"/>
      <c r="D13" s="50"/>
      <c r="E13" s="50"/>
      <c r="F13" s="52"/>
      <c r="G13" s="55">
        <f t="shared" ca="1" si="0"/>
        <v>0.82738651013127984</v>
      </c>
      <c r="H13" s="51">
        <f t="shared" ca="1" si="1"/>
        <v>1.6887775628509103</v>
      </c>
      <c r="I13" s="2"/>
      <c r="K13" s="52"/>
      <c r="L13" s="55"/>
      <c r="M13" s="51">
        <v>1.5601081791944935</v>
      </c>
      <c r="Y13">
        <v>1.135761351538028</v>
      </c>
    </row>
    <row r="14" spans="2:25" ht="21" x14ac:dyDescent="0.25">
      <c r="B14" s="108"/>
      <c r="C14" s="50"/>
      <c r="D14" s="50"/>
      <c r="E14" s="50"/>
      <c r="F14" s="52"/>
      <c r="G14" s="55">
        <f t="shared" ca="1" si="0"/>
        <v>0.49114352577802622</v>
      </c>
      <c r="H14" s="51">
        <f t="shared" ca="1" si="1"/>
        <v>1.4955596575012966</v>
      </c>
      <c r="I14" s="49"/>
      <c r="K14" s="52"/>
      <c r="L14" s="55"/>
      <c r="M14" s="51">
        <v>1.5763688016624549</v>
      </c>
      <c r="Y14">
        <v>1.7641816682363185</v>
      </c>
    </row>
    <row r="15" spans="2:25" x14ac:dyDescent="0.2">
      <c r="B15" s="50"/>
      <c r="C15" s="50"/>
      <c r="D15" s="50"/>
      <c r="E15" s="50"/>
      <c r="F15" s="52"/>
      <c r="G15" s="55">
        <f t="shared" ca="1" si="0"/>
        <v>0.2181305486713343</v>
      </c>
      <c r="H15" s="51">
        <f t="shared" ca="1" si="1"/>
        <v>1.344295516903758</v>
      </c>
      <c r="I15" s="49"/>
      <c r="K15" s="52"/>
      <c r="L15" s="55"/>
      <c r="M15" s="51">
        <v>1.6609019390216733</v>
      </c>
      <c r="Y15">
        <v>1.557218547567889</v>
      </c>
    </row>
    <row r="16" spans="2:25" x14ac:dyDescent="0.2">
      <c r="B16" s="50"/>
      <c r="C16" s="50"/>
      <c r="D16" s="50"/>
      <c r="E16" s="50"/>
      <c r="F16" s="52"/>
      <c r="G16" s="55">
        <f t="shared" ca="1" si="0"/>
        <v>0.85060303677855309</v>
      </c>
      <c r="H16" s="51">
        <f t="shared" ca="1" si="1"/>
        <v>1.7078046486708478</v>
      </c>
      <c r="I16" s="49"/>
      <c r="K16" s="52"/>
      <c r="L16" s="55"/>
      <c r="M16" s="51">
        <v>1.5018035652217423</v>
      </c>
      <c r="Y16">
        <v>1.7070148928340219</v>
      </c>
    </row>
    <row r="17" spans="2:25" x14ac:dyDescent="0.2">
      <c r="B17" s="1"/>
      <c r="E17" s="50"/>
      <c r="F17" s="52"/>
      <c r="G17" s="55">
        <f t="shared" ca="1" si="0"/>
        <v>0.25678019681776765</v>
      </c>
      <c r="H17" s="51">
        <f t="shared" ca="1" si="1"/>
        <v>1.3693392246476959</v>
      </c>
      <c r="I17" s="49"/>
      <c r="K17" s="52"/>
      <c r="L17" s="55"/>
      <c r="M17" s="51">
        <v>1.5030730570733766</v>
      </c>
      <c r="Y17">
        <v>1.6895837379523493</v>
      </c>
    </row>
    <row r="18" spans="2:25" x14ac:dyDescent="0.2">
      <c r="E18" s="50"/>
      <c r="F18" s="52"/>
      <c r="G18" s="55">
        <f t="shared" ca="1" si="0"/>
        <v>0.91636183509646185</v>
      </c>
      <c r="H18" s="51">
        <f t="shared" ca="1" si="1"/>
        <v>1.7762017112899742</v>
      </c>
      <c r="I18" s="49"/>
      <c r="K18" s="52"/>
      <c r="L18" s="55"/>
      <c r="M18" s="51">
        <v>1.3237819861756133</v>
      </c>
      <c r="Y18">
        <v>1.452949675009761</v>
      </c>
    </row>
    <row r="19" spans="2:25" ht="17" thickBot="1" x14ac:dyDescent="0.25">
      <c r="E19" s="50"/>
      <c r="F19" s="56"/>
      <c r="G19" s="57">
        <f t="shared" ca="1" si="0"/>
        <v>0.9147133551898432</v>
      </c>
      <c r="H19" s="58">
        <f t="shared" ca="1" si="1"/>
        <v>1.7740728091887126</v>
      </c>
      <c r="I19" s="49"/>
      <c r="K19" s="56"/>
      <c r="L19" s="57"/>
      <c r="M19" s="58">
        <v>1.3295448395853122</v>
      </c>
      <c r="Y19">
        <v>1.7101049253395306</v>
      </c>
    </row>
    <row r="20" spans="2:25" x14ac:dyDescent="0.2">
      <c r="E20" s="50"/>
      <c r="H20" s="49"/>
      <c r="I20" s="49"/>
      <c r="Y20">
        <v>1.6272388565341402</v>
      </c>
    </row>
    <row r="21" spans="2:25" x14ac:dyDescent="0.2">
      <c r="E21" s="50"/>
      <c r="Y21">
        <v>1.3211695123032485</v>
      </c>
    </row>
    <row r="22" spans="2:25" ht="21" x14ac:dyDescent="0.25">
      <c r="E22" s="50"/>
      <c r="F22" s="152" t="s">
        <v>67</v>
      </c>
      <c r="G22" s="1"/>
      <c r="Y22">
        <v>1.8050664462237882</v>
      </c>
    </row>
    <row r="23" spans="2:25" x14ac:dyDescent="0.2">
      <c r="C23" s="144"/>
      <c r="E23" s="50"/>
      <c r="Y23">
        <v>1.4047811920416002</v>
      </c>
    </row>
    <row r="24" spans="2:25" x14ac:dyDescent="0.2">
      <c r="E24" s="50"/>
      <c r="Y24">
        <v>1.2727989677786855</v>
      </c>
    </row>
    <row r="25" spans="2:25" x14ac:dyDescent="0.2">
      <c r="E25" s="50"/>
      <c r="Y25">
        <v>1.4223688545226179</v>
      </c>
    </row>
    <row r="26" spans="2:25" x14ac:dyDescent="0.2">
      <c r="E26" s="50"/>
      <c r="Y26">
        <v>1.4958191216899543</v>
      </c>
    </row>
    <row r="27" spans="2:25" x14ac:dyDescent="0.2">
      <c r="E27" s="50"/>
      <c r="Y27">
        <v>1.3587544421505227</v>
      </c>
    </row>
    <row r="28" spans="2:25" x14ac:dyDescent="0.2">
      <c r="E28" s="50"/>
      <c r="Y28">
        <v>1.4602135172451527</v>
      </c>
    </row>
    <row r="29" spans="2:25" x14ac:dyDescent="0.2">
      <c r="Y29">
        <v>1.5775777194844316</v>
      </c>
    </row>
    <row r="30" spans="2:25" x14ac:dyDescent="0.2">
      <c r="Y30">
        <v>1.7231992865139525</v>
      </c>
    </row>
    <row r="31" spans="2:25" x14ac:dyDescent="0.2">
      <c r="Y31">
        <v>1.5218124641355257</v>
      </c>
    </row>
    <row r="32" spans="2:25" x14ac:dyDescent="0.2">
      <c r="Y32">
        <v>1.399981690682591</v>
      </c>
    </row>
    <row r="33" spans="25:25" x14ac:dyDescent="0.2">
      <c r="Y33">
        <v>1.3245816206084826</v>
      </c>
    </row>
    <row r="34" spans="25:25" x14ac:dyDescent="0.2">
      <c r="Y34">
        <v>1.6863505591169849</v>
      </c>
    </row>
    <row r="35" spans="25:25" x14ac:dyDescent="0.2">
      <c r="Y35">
        <v>1.5586244672016463</v>
      </c>
    </row>
    <row r="36" spans="25:25" x14ac:dyDescent="0.2">
      <c r="Y36">
        <v>1.791617968062426</v>
      </c>
    </row>
    <row r="37" spans="25:25" x14ac:dyDescent="0.2">
      <c r="Y37">
        <v>1.3227295490610018</v>
      </c>
    </row>
    <row r="38" spans="25:25" x14ac:dyDescent="0.2">
      <c r="Y38">
        <v>1.6991515716759142</v>
      </c>
    </row>
    <row r="39" spans="25:25" x14ac:dyDescent="0.2">
      <c r="Y39">
        <v>1.7360832309924188</v>
      </c>
    </row>
    <row r="40" spans="25:25" x14ac:dyDescent="0.2">
      <c r="Y40">
        <v>1.8091820432373196</v>
      </c>
    </row>
    <row r="41" spans="25:25" x14ac:dyDescent="0.2">
      <c r="Y41">
        <v>1.4655192838310631</v>
      </c>
    </row>
    <row r="42" spans="25:25" x14ac:dyDescent="0.2">
      <c r="Y42">
        <v>1.2469094494507584</v>
      </c>
    </row>
    <row r="43" spans="25:25" x14ac:dyDescent="0.2">
      <c r="Y43">
        <v>1.4938485807676529</v>
      </c>
    </row>
    <row r="44" spans="25:25" x14ac:dyDescent="0.2">
      <c r="Y44">
        <v>1.2685535709643714</v>
      </c>
    </row>
    <row r="45" spans="25:25" x14ac:dyDescent="0.2">
      <c r="Y45">
        <v>1.7687764345308179</v>
      </c>
    </row>
    <row r="46" spans="25:25" x14ac:dyDescent="0.2">
      <c r="Y46">
        <v>1.6617028999658008</v>
      </c>
    </row>
    <row r="47" spans="25:25" x14ac:dyDescent="0.2">
      <c r="Y47">
        <v>1.3723414083169405</v>
      </c>
    </row>
    <row r="48" spans="25:25" x14ac:dyDescent="0.2">
      <c r="Y48">
        <v>1.4056851337221412</v>
      </c>
    </row>
    <row r="49" spans="25:25" x14ac:dyDescent="0.2">
      <c r="Y49">
        <v>1.4183008485875312</v>
      </c>
    </row>
    <row r="50" spans="25:25" x14ac:dyDescent="0.2">
      <c r="Y50">
        <v>1.3963098565460585</v>
      </c>
    </row>
    <row r="51" spans="25:25" x14ac:dyDescent="0.2">
      <c r="Y51">
        <v>1.6508935505438966</v>
      </c>
    </row>
    <row r="52" spans="25:25" x14ac:dyDescent="0.2">
      <c r="Y52">
        <v>1.2615855199117012</v>
      </c>
    </row>
    <row r="53" spans="25:25" x14ac:dyDescent="0.2">
      <c r="Y53">
        <v>1.4555528690716817</v>
      </c>
    </row>
    <row r="54" spans="25:25" x14ac:dyDescent="0.2">
      <c r="Y54">
        <v>1.5601146964648185</v>
      </c>
    </row>
    <row r="55" spans="25:25" x14ac:dyDescent="0.2">
      <c r="Y55">
        <v>1.1808715696489638</v>
      </c>
    </row>
    <row r="56" spans="25:25" x14ac:dyDescent="0.2">
      <c r="Y56">
        <v>1.3493349686644989</v>
      </c>
    </row>
    <row r="57" spans="25:25" x14ac:dyDescent="0.2">
      <c r="Y57">
        <v>1.607387610221281</v>
      </c>
    </row>
    <row r="58" spans="25:25" x14ac:dyDescent="0.2">
      <c r="Y58">
        <v>1.2998235707705039</v>
      </c>
    </row>
    <row r="59" spans="25:25" x14ac:dyDescent="0.2">
      <c r="Y59">
        <v>1.6927631478501302</v>
      </c>
    </row>
    <row r="60" spans="25:25" x14ac:dyDescent="0.2">
      <c r="Y60">
        <v>1.5004106351673152</v>
      </c>
    </row>
    <row r="61" spans="25:25" x14ac:dyDescent="0.2">
      <c r="Y61">
        <v>1.4425938685090316</v>
      </c>
    </row>
    <row r="62" spans="25:25" x14ac:dyDescent="0.2">
      <c r="Y62">
        <v>1.4087093444371748</v>
      </c>
    </row>
    <row r="63" spans="25:25" x14ac:dyDescent="0.2">
      <c r="Y63">
        <v>1.6090502249742009</v>
      </c>
    </row>
    <row r="64" spans="25:25" x14ac:dyDescent="0.2">
      <c r="Y64">
        <v>1.363208081551885</v>
      </c>
    </row>
    <row r="65" spans="25:25" x14ac:dyDescent="0.2">
      <c r="Y65">
        <v>1.8340055973389784</v>
      </c>
    </row>
    <row r="66" spans="25:25" x14ac:dyDescent="0.2">
      <c r="Y66">
        <v>2.0026488903239827</v>
      </c>
    </row>
    <row r="67" spans="25:25" x14ac:dyDescent="0.2">
      <c r="Y67">
        <v>1.3550835320548353</v>
      </c>
    </row>
    <row r="68" spans="25:25" x14ac:dyDescent="0.2">
      <c r="Y68">
        <v>1.6848770578941437</v>
      </c>
    </row>
    <row r="69" spans="25:25" x14ac:dyDescent="0.2">
      <c r="Y69">
        <v>1.5938318816602506</v>
      </c>
    </row>
    <row r="70" spans="25:25" x14ac:dyDescent="0.2">
      <c r="Y70">
        <v>1.4594823723582053</v>
      </c>
    </row>
    <row r="71" spans="25:25" x14ac:dyDescent="0.2">
      <c r="Y71">
        <v>1.0382483353638172</v>
      </c>
    </row>
    <row r="72" spans="25:25" x14ac:dyDescent="0.2">
      <c r="Y72">
        <v>1.4843211759622663</v>
      </c>
    </row>
    <row r="73" spans="25:25" x14ac:dyDescent="0.2">
      <c r="Y73">
        <v>1.1496996548352583</v>
      </c>
    </row>
    <row r="74" spans="25:25" x14ac:dyDescent="0.2">
      <c r="Y74">
        <v>1.3459376704985111</v>
      </c>
    </row>
    <row r="75" spans="25:25" x14ac:dyDescent="0.2">
      <c r="Y75">
        <v>1.4658577034756459</v>
      </c>
    </row>
    <row r="76" spans="25:25" x14ac:dyDescent="0.2">
      <c r="Y76">
        <v>1.5583201216223621</v>
      </c>
    </row>
    <row r="77" spans="25:25" x14ac:dyDescent="0.2">
      <c r="Y77">
        <v>1.7990266282426328</v>
      </c>
    </row>
    <row r="78" spans="25:25" x14ac:dyDescent="0.2">
      <c r="Y78">
        <v>1.4127209754004735</v>
      </c>
    </row>
    <row r="79" spans="25:25" x14ac:dyDescent="0.2">
      <c r="Y79">
        <v>1.2937395256693685</v>
      </c>
    </row>
    <row r="80" spans="25:25" x14ac:dyDescent="0.2">
      <c r="Y80">
        <v>1.6176597478209842</v>
      </c>
    </row>
    <row r="81" spans="25:25" x14ac:dyDescent="0.2">
      <c r="Y81">
        <v>1.4730659237351649</v>
      </c>
    </row>
    <row r="82" spans="25:25" x14ac:dyDescent="0.2">
      <c r="Y82">
        <v>1.4535662919341343</v>
      </c>
    </row>
    <row r="83" spans="25:25" x14ac:dyDescent="0.2">
      <c r="Y83">
        <v>1.5707100643911884</v>
      </c>
    </row>
    <row r="84" spans="25:25" x14ac:dyDescent="0.2">
      <c r="Y84">
        <v>1.339959370971608</v>
      </c>
    </row>
    <row r="85" spans="25:25" x14ac:dyDescent="0.2">
      <c r="Y85">
        <v>1.439111486470809</v>
      </c>
    </row>
    <row r="86" spans="25:25" x14ac:dyDescent="0.2">
      <c r="Y86">
        <v>1.4099961574196562</v>
      </c>
    </row>
    <row r="87" spans="25:25" x14ac:dyDescent="0.2">
      <c r="Y87">
        <v>1.4376191188428518</v>
      </c>
    </row>
    <row r="88" spans="25:25" x14ac:dyDescent="0.2">
      <c r="Y88">
        <v>1.3837600810050665</v>
      </c>
    </row>
    <row r="89" spans="25:25" x14ac:dyDescent="0.2">
      <c r="Y89">
        <v>1.5153143500106612</v>
      </c>
    </row>
    <row r="90" spans="25:25" x14ac:dyDescent="0.2">
      <c r="Y90">
        <v>1.3562347139880244</v>
      </c>
    </row>
    <row r="91" spans="25:25" x14ac:dyDescent="0.2">
      <c r="Y91">
        <v>1.7539677153230713</v>
      </c>
    </row>
    <row r="92" spans="25:25" x14ac:dyDescent="0.2">
      <c r="Y92">
        <v>1.3119427184656158</v>
      </c>
    </row>
    <row r="93" spans="25:25" x14ac:dyDescent="0.2">
      <c r="Y93">
        <v>1.2879701894763413</v>
      </c>
    </row>
    <row r="94" spans="25:25" x14ac:dyDescent="0.2">
      <c r="Y94">
        <v>1.7034928681687851</v>
      </c>
    </row>
    <row r="95" spans="25:25" x14ac:dyDescent="0.2">
      <c r="Y95">
        <v>1.4327313810950197</v>
      </c>
    </row>
    <row r="96" spans="25:25" x14ac:dyDescent="0.2">
      <c r="Y96">
        <v>1.6233500341484981</v>
      </c>
    </row>
    <row r="97" spans="25:25" x14ac:dyDescent="0.2">
      <c r="Y97">
        <v>1.7201780337218706</v>
      </c>
    </row>
    <row r="98" spans="25:25" x14ac:dyDescent="0.2">
      <c r="Y98">
        <v>1.5389399775377326</v>
      </c>
    </row>
    <row r="99" spans="25:25" x14ac:dyDescent="0.2">
      <c r="Y99">
        <v>1.2623321706146542</v>
      </c>
    </row>
    <row r="100" spans="25:25" x14ac:dyDescent="0.2">
      <c r="Y100">
        <v>1.5686919759946021</v>
      </c>
    </row>
    <row r="101" spans="25:25" x14ac:dyDescent="0.2">
      <c r="Y101">
        <v>1.6347233943835457</v>
      </c>
    </row>
    <row r="102" spans="25:25" x14ac:dyDescent="0.2">
      <c r="Y102">
        <v>1.548486385616036</v>
      </c>
    </row>
    <row r="103" spans="25:25" x14ac:dyDescent="0.2">
      <c r="Y103">
        <v>1.5812599880866041</v>
      </c>
    </row>
    <row r="104" spans="25:25" x14ac:dyDescent="0.2">
      <c r="Y104">
        <v>1.2528259329561211</v>
      </c>
    </row>
    <row r="105" spans="25:25" x14ac:dyDescent="0.2">
      <c r="Y105">
        <v>1.4741604495963117</v>
      </c>
    </row>
    <row r="106" spans="25:25" x14ac:dyDescent="0.2">
      <c r="Y106">
        <v>1.4294777247305046</v>
      </c>
    </row>
    <row r="107" spans="25:25" x14ac:dyDescent="0.2">
      <c r="Y107">
        <v>1.7978817102796032</v>
      </c>
    </row>
    <row r="108" spans="25:25" x14ac:dyDescent="0.2">
      <c r="Y108">
        <v>1.5513837259227712</v>
      </c>
    </row>
    <row r="109" spans="25:25" x14ac:dyDescent="0.2">
      <c r="Y109">
        <v>1.6619224048851526</v>
      </c>
    </row>
  </sheetData>
  <mergeCells count="2">
    <mergeCell ref="B4:D4"/>
    <mergeCell ref="K4:M4"/>
  </mergeCells>
  <phoneticPr fontId="1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8329-CAF7-1047-9215-A1DC8408A575}">
  <sheetPr codeName="Sheet2"/>
  <dimension ref="A1:Z302"/>
  <sheetViews>
    <sheetView zoomScale="82" zoomScaleNormal="133" workbookViewId="0">
      <selection activeCell="F11" sqref="F11"/>
    </sheetView>
  </sheetViews>
  <sheetFormatPr baseColWidth="10" defaultRowHeight="16" x14ac:dyDescent="0.2"/>
  <cols>
    <col min="1" max="1" width="10.83203125" style="4"/>
    <col min="2" max="2" width="22.5" style="4" customWidth="1"/>
    <col min="3" max="7" width="10.83203125" style="4"/>
    <col min="8" max="8" width="10.1640625" style="4" customWidth="1"/>
    <col min="9" max="9" width="11.1640625" style="4" customWidth="1"/>
    <col min="10" max="10" width="10.83203125" style="4" customWidth="1"/>
    <col min="11" max="12" width="10.83203125" style="4"/>
    <col min="13" max="13" width="13.33203125" style="4" customWidth="1"/>
    <col min="14" max="14" width="15" style="4" customWidth="1"/>
    <col min="15" max="15" width="10.83203125" style="13"/>
    <col min="16" max="16" width="15.1640625" style="62" customWidth="1"/>
    <col min="17" max="17" width="12.83203125" style="13" bestFit="1" customWidth="1"/>
    <col min="18" max="18" width="10.83203125" style="35"/>
    <col min="19" max="19" width="12" style="34" bestFit="1" customWidth="1"/>
    <col min="20" max="20" width="10.83203125" style="35"/>
    <col min="21" max="21" width="12" style="34" bestFit="1" customWidth="1"/>
    <col min="22" max="22" width="10.83203125" style="35"/>
    <col min="23" max="25" width="10.83203125" style="4"/>
    <col min="26" max="26" width="13" style="4" customWidth="1"/>
    <col min="27" max="16384" width="10.83203125" style="4"/>
  </cols>
  <sheetData>
    <row r="1" spans="1:26" ht="17" customHeight="1" thickBot="1" x14ac:dyDescent="0.25">
      <c r="P1" s="63"/>
      <c r="Q1" s="123" t="s">
        <v>61</v>
      </c>
      <c r="R1" s="124"/>
      <c r="S1" s="124"/>
      <c r="T1" s="124"/>
      <c r="U1" s="124"/>
      <c r="V1" s="124"/>
    </row>
    <row r="2" spans="1:26" ht="37" customHeight="1" thickBot="1" x14ac:dyDescent="0.35">
      <c r="A2" s="29"/>
      <c r="B2" s="126" t="s">
        <v>26</v>
      </c>
      <c r="C2" s="126"/>
      <c r="D2" s="126"/>
      <c r="E2" s="126"/>
      <c r="F2" s="29"/>
      <c r="G2" s="29"/>
      <c r="H2" s="29"/>
      <c r="I2" s="29"/>
      <c r="J2" s="29"/>
      <c r="K2" s="29"/>
      <c r="L2" s="29"/>
      <c r="M2" s="29"/>
      <c r="N2" s="29"/>
      <c r="O2" s="68"/>
      <c r="P2" s="64"/>
      <c r="Q2" s="137" t="s">
        <v>14</v>
      </c>
      <c r="R2" s="138"/>
      <c r="S2" s="139" t="s">
        <v>27</v>
      </c>
      <c r="T2" s="138"/>
      <c r="U2" s="140" t="s">
        <v>28</v>
      </c>
      <c r="V2" s="141"/>
      <c r="W2" s="13"/>
    </row>
    <row r="3" spans="1:26" x14ac:dyDescent="0.2">
      <c r="L3" s="3"/>
      <c r="P3" s="65" t="s">
        <v>24</v>
      </c>
      <c r="Q3" s="142">
        <f>Q7/R7</f>
        <v>5137.7049180327776</v>
      </c>
      <c r="R3" s="128"/>
      <c r="S3" s="127">
        <f>S7/T7</f>
        <v>5126.1410788381845</v>
      </c>
      <c r="T3" s="128"/>
      <c r="U3" s="131">
        <f>U7/V7</f>
        <v>6066.6666666666897</v>
      </c>
      <c r="V3" s="132"/>
      <c r="Z3" s="40"/>
    </row>
    <row r="4" spans="1:26" ht="17" thickBot="1" x14ac:dyDescent="0.25">
      <c r="L4" s="19"/>
      <c r="N4" s="16"/>
      <c r="O4" s="69"/>
      <c r="P4" s="65" t="s">
        <v>23</v>
      </c>
      <c r="Q4" s="143">
        <f xml:space="preserve"> (R7*20000 - Q7)</f>
        <v>90660.000000000218</v>
      </c>
      <c r="R4" s="134"/>
      <c r="S4" s="133">
        <f xml:space="preserve"> (T7*20000 - S7)</f>
        <v>89614.999999999782</v>
      </c>
      <c r="T4" s="134"/>
      <c r="U4" s="135">
        <f xml:space="preserve"> (V7*20000 - U7)</f>
        <v>1044.9999999999886</v>
      </c>
      <c r="V4" s="136"/>
      <c r="Z4" s="40"/>
    </row>
    <row r="5" spans="1:26" ht="17" thickBot="1" x14ac:dyDescent="0.25">
      <c r="B5" s="25" t="s">
        <v>3</v>
      </c>
      <c r="C5" s="26" t="s">
        <v>4</v>
      </c>
      <c r="D5" s="26" t="s">
        <v>9</v>
      </c>
      <c r="E5" s="26" t="s">
        <v>8</v>
      </c>
      <c r="F5" s="27" t="s">
        <v>7</v>
      </c>
      <c r="K5" s="13"/>
      <c r="L5" s="13"/>
      <c r="M5" s="13"/>
      <c r="N5" s="28"/>
      <c r="O5" s="70"/>
      <c r="P5" s="65"/>
      <c r="Q5" s="42"/>
      <c r="R5" s="41"/>
      <c r="S5" s="38"/>
      <c r="T5" s="38"/>
      <c r="U5" s="129"/>
      <c r="V5" s="130"/>
    </row>
    <row r="6" spans="1:26" ht="17" thickBot="1" x14ac:dyDescent="0.25">
      <c r="B6" s="23" t="s">
        <v>16</v>
      </c>
      <c r="C6" s="13" t="s">
        <v>6</v>
      </c>
      <c r="D6" s="13">
        <v>30000</v>
      </c>
      <c r="E6" s="13"/>
      <c r="F6" s="20">
        <f t="shared" ref="F6:F13" si="0">D6</f>
        <v>30000</v>
      </c>
      <c r="J6" s="18"/>
      <c r="K6" s="13"/>
      <c r="L6" s="13"/>
      <c r="M6" s="14"/>
      <c r="O6" s="71"/>
      <c r="P6" s="66"/>
      <c r="Q6" s="43" t="s">
        <v>1</v>
      </c>
      <c r="R6" s="37" t="s">
        <v>2</v>
      </c>
      <c r="S6" s="36" t="s">
        <v>1</v>
      </c>
      <c r="T6" s="37" t="s">
        <v>2</v>
      </c>
      <c r="U6" s="36" t="s">
        <v>1</v>
      </c>
      <c r="V6" s="37" t="s">
        <v>2</v>
      </c>
    </row>
    <row r="7" spans="1:26" ht="18" thickTop="1" thickBot="1" x14ac:dyDescent="0.25">
      <c r="B7" s="23" t="s">
        <v>17</v>
      </c>
      <c r="C7" s="13" t="s">
        <v>6</v>
      </c>
      <c r="D7" s="13">
        <v>29500</v>
      </c>
      <c r="E7" s="13"/>
      <c r="F7" s="20">
        <f t="shared" si="0"/>
        <v>29500</v>
      </c>
      <c r="H7" s="15"/>
      <c r="I7" s="15"/>
      <c r="K7" s="13"/>
      <c r="L7" s="13"/>
      <c r="M7" s="13"/>
      <c r="O7" s="71"/>
      <c r="P7" s="65" t="s">
        <v>22</v>
      </c>
      <c r="Q7" s="47">
        <f t="shared" ref="Q7" si="1">AVERAGE(Q8:Q107)</f>
        <v>31340</v>
      </c>
      <c r="R7" s="46">
        <f t="shared" ref="R7" si="2">AVERAGE(R8:R107)</f>
        <v>6.1000000000000112</v>
      </c>
      <c r="S7" s="48">
        <f t="shared" ref="S7" si="3">AVERAGE(S8:S107)</f>
        <v>30885.000000000004</v>
      </c>
      <c r="T7" s="46">
        <f t="shared" ref="T7" si="4">AVERAGE(T8:T107)</f>
        <v>6.0249999999999888</v>
      </c>
      <c r="U7" s="48">
        <f t="shared" ref="U7" si="5">AVERAGE(U8:U107)</f>
        <v>454.99999999999739</v>
      </c>
      <c r="V7" s="46">
        <f t="shared" ref="V7" si="6">AVERAGE(V8:V107)</f>
        <v>7.4999999999999289E-2</v>
      </c>
      <c r="Z7" s="39"/>
    </row>
    <row r="8" spans="1:26" ht="17" thickTop="1" x14ac:dyDescent="0.2">
      <c r="B8" s="23" t="s">
        <v>12</v>
      </c>
      <c r="C8" s="13" t="s">
        <v>6</v>
      </c>
      <c r="D8" s="13">
        <v>500</v>
      </c>
      <c r="E8" s="13"/>
      <c r="F8" s="20">
        <f t="shared" si="0"/>
        <v>500</v>
      </c>
      <c r="I8" s="30"/>
      <c r="P8" s="67"/>
      <c r="Q8" s="101">
        <v>31340</v>
      </c>
      <c r="R8" s="102">
        <v>6.1</v>
      </c>
      <c r="S8" s="103">
        <v>30885.000000000004</v>
      </c>
      <c r="T8" s="102">
        <v>6.0250000000000004</v>
      </c>
      <c r="U8" s="44">
        <f>Q8-S8</f>
        <v>454.99999999999636</v>
      </c>
      <c r="V8" s="45">
        <f>R8-T8</f>
        <v>7.4999999999999289E-2</v>
      </c>
    </row>
    <row r="9" spans="1:26" x14ac:dyDescent="0.2">
      <c r="B9" s="23" t="s">
        <v>13</v>
      </c>
      <c r="C9" s="13" t="s">
        <v>6</v>
      </c>
      <c r="D9" s="13">
        <v>2000</v>
      </c>
      <c r="E9" s="13"/>
      <c r="F9" s="20">
        <f t="shared" si="0"/>
        <v>2000</v>
      </c>
      <c r="I9" s="31"/>
      <c r="O9" s="71"/>
      <c r="P9" s="67"/>
      <c r="Q9" s="13">
        <v>31340</v>
      </c>
      <c r="R9" s="35">
        <v>6.1</v>
      </c>
      <c r="S9" s="34">
        <v>30885.000000000004</v>
      </c>
      <c r="T9" s="35">
        <v>6.0250000000000004</v>
      </c>
      <c r="U9" s="44">
        <f t="shared" ref="U9:U72" si="7">Q9-S9</f>
        <v>454.99999999999636</v>
      </c>
      <c r="V9" s="45">
        <f t="shared" ref="V9:V72" si="8">R9-T9</f>
        <v>7.4999999999999289E-2</v>
      </c>
    </row>
    <row r="10" spans="1:26" x14ac:dyDescent="0.2">
      <c r="B10" s="23" t="s">
        <v>11</v>
      </c>
      <c r="C10" s="13" t="s">
        <v>6</v>
      </c>
      <c r="D10" s="13">
        <v>7.5</v>
      </c>
      <c r="E10" s="13"/>
      <c r="F10" s="20">
        <f t="shared" si="0"/>
        <v>7.5</v>
      </c>
      <c r="H10" s="9"/>
      <c r="I10" s="32"/>
      <c r="J10" s="7"/>
      <c r="O10" s="71"/>
      <c r="Q10" s="13">
        <v>31340</v>
      </c>
      <c r="R10" s="35">
        <v>6.1</v>
      </c>
      <c r="S10" s="34">
        <v>30885.000000000004</v>
      </c>
      <c r="T10" s="35">
        <v>6.0250000000000004</v>
      </c>
      <c r="U10" s="44">
        <f t="shared" si="7"/>
        <v>454.99999999999636</v>
      </c>
      <c r="V10" s="45">
        <f t="shared" si="8"/>
        <v>7.4999999999999289E-2</v>
      </c>
    </row>
    <row r="11" spans="1:26" x14ac:dyDescent="0.2">
      <c r="B11" s="23" t="s">
        <v>10</v>
      </c>
      <c r="C11" s="13" t="s">
        <v>6</v>
      </c>
      <c r="D11" s="13">
        <v>5</v>
      </c>
      <c r="E11" s="13"/>
      <c r="F11" s="20">
        <f t="shared" si="0"/>
        <v>5</v>
      </c>
      <c r="H11" s="10"/>
      <c r="I11" s="33"/>
      <c r="J11" s="17"/>
      <c r="L11" s="3"/>
      <c r="O11" s="71"/>
      <c r="Q11" s="13">
        <v>31340</v>
      </c>
      <c r="R11" s="35">
        <v>6.1</v>
      </c>
      <c r="S11" s="34">
        <v>30885.000000000004</v>
      </c>
      <c r="T11" s="35">
        <v>6.0250000000000004</v>
      </c>
      <c r="U11" s="44">
        <f t="shared" si="7"/>
        <v>454.99999999999636</v>
      </c>
      <c r="V11" s="45">
        <f t="shared" si="8"/>
        <v>7.4999999999999289E-2</v>
      </c>
    </row>
    <row r="12" spans="1:26" x14ac:dyDescent="0.2">
      <c r="B12" s="23" t="s">
        <v>18</v>
      </c>
      <c r="C12" s="13" t="s">
        <v>6</v>
      </c>
      <c r="D12" s="13">
        <v>0.44</v>
      </c>
      <c r="E12" s="13"/>
      <c r="F12" s="20">
        <f t="shared" si="0"/>
        <v>0.44</v>
      </c>
      <c r="I12" s="31"/>
      <c r="N12" s="16"/>
      <c r="O12" s="70"/>
      <c r="Q12" s="13">
        <v>31340</v>
      </c>
      <c r="R12" s="35">
        <v>6.1</v>
      </c>
      <c r="S12" s="34">
        <v>30885.000000000004</v>
      </c>
      <c r="T12" s="35">
        <v>6.0250000000000004</v>
      </c>
      <c r="U12" s="44">
        <f t="shared" si="7"/>
        <v>454.99999999999636</v>
      </c>
      <c r="V12" s="45">
        <f t="shared" si="8"/>
        <v>7.4999999999999289E-2</v>
      </c>
    </row>
    <row r="13" spans="1:26" ht="17" thickBot="1" x14ac:dyDescent="0.25">
      <c r="B13" s="24" t="s">
        <v>19</v>
      </c>
      <c r="C13" s="21" t="s">
        <v>6</v>
      </c>
      <c r="D13" s="21">
        <v>0.41</v>
      </c>
      <c r="E13" s="21"/>
      <c r="F13" s="22">
        <f t="shared" si="0"/>
        <v>0.41</v>
      </c>
      <c r="I13" s="31"/>
      <c r="M13" s="6"/>
      <c r="N13" s="28"/>
      <c r="O13" s="70"/>
      <c r="Q13" s="13">
        <v>31340</v>
      </c>
      <c r="R13" s="35">
        <v>6.1</v>
      </c>
      <c r="S13" s="34">
        <v>30885.000000000004</v>
      </c>
      <c r="T13" s="35">
        <v>6.0250000000000004</v>
      </c>
      <c r="U13" s="44">
        <f t="shared" si="7"/>
        <v>454.99999999999636</v>
      </c>
      <c r="V13" s="45">
        <f t="shared" si="8"/>
        <v>7.4999999999999289E-2</v>
      </c>
    </row>
    <row r="14" spans="1:26" x14ac:dyDescent="0.2">
      <c r="I14" s="31"/>
      <c r="O14" s="71"/>
      <c r="Q14" s="13">
        <v>31340</v>
      </c>
      <c r="R14" s="35">
        <v>6.1</v>
      </c>
      <c r="S14" s="34">
        <v>30885.000000000004</v>
      </c>
      <c r="T14" s="35">
        <v>6.0250000000000004</v>
      </c>
      <c r="U14" s="44">
        <f t="shared" si="7"/>
        <v>454.99999999999636</v>
      </c>
      <c r="V14" s="45">
        <f t="shared" si="8"/>
        <v>7.4999999999999289E-2</v>
      </c>
    </row>
    <row r="15" spans="1:26" x14ac:dyDescent="0.2">
      <c r="I15" s="31"/>
      <c r="O15" s="71"/>
      <c r="Q15" s="13">
        <v>31340</v>
      </c>
      <c r="R15" s="35">
        <v>6.1</v>
      </c>
      <c r="S15" s="34">
        <v>30885.000000000004</v>
      </c>
      <c r="T15" s="35">
        <v>6.0250000000000004</v>
      </c>
      <c r="U15" s="44">
        <f t="shared" si="7"/>
        <v>454.99999999999636</v>
      </c>
      <c r="V15" s="45">
        <f t="shared" si="8"/>
        <v>7.4999999999999289E-2</v>
      </c>
    </row>
    <row r="16" spans="1:26" ht="19" x14ac:dyDescent="0.25">
      <c r="F16" s="79"/>
      <c r="G16" s="80"/>
      <c r="H16" s="80"/>
      <c r="I16" s="99" t="s">
        <v>59</v>
      </c>
      <c r="J16" s="80"/>
      <c r="K16" s="81" t="s">
        <v>1</v>
      </c>
      <c r="L16" s="82" t="s">
        <v>2</v>
      </c>
      <c r="M16" s="5"/>
      <c r="O16" s="70"/>
      <c r="Q16" s="13">
        <v>31340</v>
      </c>
      <c r="R16" s="35">
        <v>6.1</v>
      </c>
      <c r="S16" s="34">
        <v>30885.000000000004</v>
      </c>
      <c r="T16" s="35">
        <v>6.0250000000000004</v>
      </c>
      <c r="U16" s="44">
        <f t="shared" si="7"/>
        <v>454.99999999999636</v>
      </c>
      <c r="V16" s="45">
        <f t="shared" si="8"/>
        <v>7.4999999999999289E-2</v>
      </c>
    </row>
    <row r="17" spans="5:22" ht="19" x14ac:dyDescent="0.25">
      <c r="F17" s="79"/>
      <c r="G17" s="80"/>
      <c r="H17" s="80"/>
      <c r="I17" s="98"/>
      <c r="J17" s="84"/>
      <c r="K17" s="85">
        <f>F6+F8</f>
        <v>30500</v>
      </c>
      <c r="L17" s="86">
        <f>F10</f>
        <v>7.5</v>
      </c>
      <c r="Q17" s="13">
        <v>31340</v>
      </c>
      <c r="R17" s="35">
        <v>6.1</v>
      </c>
      <c r="S17" s="34">
        <v>30885.000000000004</v>
      </c>
      <c r="T17" s="35">
        <v>6.0250000000000004</v>
      </c>
      <c r="U17" s="44">
        <f t="shared" si="7"/>
        <v>454.99999999999636</v>
      </c>
      <c r="V17" s="45">
        <f t="shared" si="8"/>
        <v>7.4999999999999289E-2</v>
      </c>
    </row>
    <row r="18" spans="5:22" ht="20" thickBot="1" x14ac:dyDescent="0.3">
      <c r="E18" s="8"/>
      <c r="F18" s="87"/>
      <c r="G18" s="88">
        <f>F12</f>
        <v>0.44</v>
      </c>
      <c r="H18" s="80"/>
      <c r="I18" s="97"/>
      <c r="J18" s="84"/>
      <c r="K18" s="80"/>
      <c r="L18" s="89"/>
      <c r="Q18" s="13">
        <v>31340</v>
      </c>
      <c r="R18" s="35">
        <v>6.1</v>
      </c>
      <c r="S18" s="34">
        <v>30885.000000000004</v>
      </c>
      <c r="T18" s="35">
        <v>6.0250000000000004</v>
      </c>
      <c r="U18" s="44">
        <f t="shared" si="7"/>
        <v>454.99999999999636</v>
      </c>
      <c r="V18" s="45">
        <f t="shared" si="8"/>
        <v>7.4999999999999289E-2</v>
      </c>
    </row>
    <row r="19" spans="5:22" ht="19" x14ac:dyDescent="0.25">
      <c r="F19" s="87" t="s">
        <v>14</v>
      </c>
      <c r="G19" s="80"/>
      <c r="H19" s="80"/>
      <c r="I19" s="97"/>
      <c r="J19" s="84"/>
      <c r="K19" s="80"/>
      <c r="L19" s="89"/>
      <c r="M19" s="113" t="s">
        <v>21</v>
      </c>
      <c r="N19" s="114" t="s">
        <v>20</v>
      </c>
      <c r="Q19" s="13">
        <v>31340</v>
      </c>
      <c r="R19" s="35">
        <v>6.1</v>
      </c>
      <c r="S19" s="34">
        <v>30885.000000000004</v>
      </c>
      <c r="T19" s="35">
        <v>6.0250000000000004</v>
      </c>
      <c r="U19" s="44">
        <f t="shared" si="7"/>
        <v>454.99999999999636</v>
      </c>
      <c r="V19" s="45">
        <f t="shared" si="8"/>
        <v>7.4999999999999289E-2</v>
      </c>
    </row>
    <row r="20" spans="5:22" ht="20" thickBot="1" x14ac:dyDescent="0.3">
      <c r="E20" s="11"/>
      <c r="F20" s="90"/>
      <c r="G20" s="80"/>
      <c r="H20" s="80"/>
      <c r="I20" s="97"/>
      <c r="J20" s="84"/>
      <c r="K20" s="80"/>
      <c r="L20" s="89"/>
      <c r="M20" s="115">
        <f>G18*K17+G22*K24</f>
        <v>31340</v>
      </c>
      <c r="N20" s="116">
        <f>G18*L17+G22*L24</f>
        <v>6.1</v>
      </c>
      <c r="Q20" s="13">
        <v>31340</v>
      </c>
      <c r="R20" s="35">
        <v>6.1</v>
      </c>
      <c r="S20" s="34">
        <v>30885.000000000004</v>
      </c>
      <c r="T20" s="35">
        <v>6.0250000000000004</v>
      </c>
      <c r="U20" s="44">
        <f t="shared" si="7"/>
        <v>454.99999999999636</v>
      </c>
      <c r="V20" s="45">
        <f t="shared" si="8"/>
        <v>7.4999999999999289E-2</v>
      </c>
    </row>
    <row r="21" spans="5:22" ht="19" x14ac:dyDescent="0.25">
      <c r="E21" s="12"/>
      <c r="F21" s="91"/>
      <c r="G21" s="92"/>
      <c r="H21" s="80"/>
      <c r="I21" s="97"/>
      <c r="J21" s="84"/>
      <c r="K21" s="80"/>
      <c r="L21" s="89"/>
      <c r="M21" s="80"/>
      <c r="N21" s="80"/>
      <c r="Q21" s="13">
        <v>31340</v>
      </c>
      <c r="R21" s="35">
        <v>6.1</v>
      </c>
      <c r="S21" s="34">
        <v>30885.000000000004</v>
      </c>
      <c r="T21" s="35">
        <v>6.0250000000000004</v>
      </c>
      <c r="U21" s="44">
        <f t="shared" si="7"/>
        <v>454.99999999999636</v>
      </c>
      <c r="V21" s="45">
        <f t="shared" si="8"/>
        <v>7.4999999999999289E-2</v>
      </c>
    </row>
    <row r="22" spans="5:22" ht="19" x14ac:dyDescent="0.25">
      <c r="E22" s="10"/>
      <c r="F22" s="93"/>
      <c r="G22" s="94">
        <f>1-G18</f>
        <v>0.56000000000000005</v>
      </c>
      <c r="H22" s="80"/>
      <c r="I22" s="97"/>
      <c r="J22" s="84"/>
      <c r="K22" s="80"/>
      <c r="L22" s="89"/>
      <c r="M22" s="80"/>
      <c r="N22" s="80"/>
      <c r="O22" s="71"/>
      <c r="Q22" s="13">
        <v>31340</v>
      </c>
      <c r="R22" s="35">
        <v>6.1</v>
      </c>
      <c r="S22" s="34">
        <v>30885.000000000004</v>
      </c>
      <c r="T22" s="35">
        <v>6.0250000000000004</v>
      </c>
      <c r="U22" s="44">
        <f t="shared" si="7"/>
        <v>454.99999999999636</v>
      </c>
      <c r="V22" s="45">
        <f t="shared" si="8"/>
        <v>7.4999999999999289E-2</v>
      </c>
    </row>
    <row r="23" spans="5:22" ht="19" x14ac:dyDescent="0.25">
      <c r="F23" s="79"/>
      <c r="G23" s="80"/>
      <c r="H23" s="80"/>
      <c r="I23" s="97"/>
      <c r="J23" s="84"/>
      <c r="K23" s="81" t="s">
        <v>1</v>
      </c>
      <c r="L23" s="82" t="s">
        <v>2</v>
      </c>
      <c r="M23" s="83"/>
      <c r="N23" s="80"/>
      <c r="O23" s="70"/>
      <c r="Q23" s="13">
        <v>31340</v>
      </c>
      <c r="R23" s="35">
        <v>6.1</v>
      </c>
      <c r="S23" s="34">
        <v>30885.000000000004</v>
      </c>
      <c r="T23" s="35">
        <v>6.0250000000000004</v>
      </c>
      <c r="U23" s="44">
        <f t="shared" si="7"/>
        <v>454.99999999999636</v>
      </c>
      <c r="V23" s="45">
        <f t="shared" si="8"/>
        <v>7.4999999999999289E-2</v>
      </c>
    </row>
    <row r="24" spans="5:22" ht="19" x14ac:dyDescent="0.25">
      <c r="F24" s="79"/>
      <c r="G24" s="80"/>
      <c r="H24" s="80"/>
      <c r="I24" s="100" t="s">
        <v>60</v>
      </c>
      <c r="J24" s="84"/>
      <c r="K24" s="85">
        <f>F6+F9</f>
        <v>32000</v>
      </c>
      <c r="L24" s="86">
        <f>F11</f>
        <v>5</v>
      </c>
      <c r="M24" s="80"/>
      <c r="N24" s="80"/>
      <c r="O24" s="70"/>
      <c r="Q24" s="13">
        <v>31340</v>
      </c>
      <c r="R24" s="35">
        <v>6.1</v>
      </c>
      <c r="S24" s="34">
        <v>30885.000000000004</v>
      </c>
      <c r="T24" s="35">
        <v>6.0250000000000004</v>
      </c>
      <c r="U24" s="44">
        <f t="shared" si="7"/>
        <v>454.99999999999636</v>
      </c>
      <c r="V24" s="45">
        <f t="shared" si="8"/>
        <v>7.4999999999999289E-2</v>
      </c>
    </row>
    <row r="25" spans="5:22" ht="19" x14ac:dyDescent="0.25">
      <c r="F25" s="79"/>
      <c r="G25" s="80"/>
      <c r="H25" s="80"/>
      <c r="I25" s="97"/>
      <c r="J25" s="80"/>
      <c r="K25" s="80"/>
      <c r="L25" s="89"/>
      <c r="M25" s="80"/>
      <c r="N25" s="80"/>
      <c r="O25" s="71"/>
      <c r="Q25" s="13">
        <v>31340</v>
      </c>
      <c r="R25" s="35">
        <v>6.1</v>
      </c>
      <c r="S25" s="34">
        <v>30885.000000000004</v>
      </c>
      <c r="T25" s="35">
        <v>6.0250000000000004</v>
      </c>
      <c r="U25" s="44">
        <f t="shared" si="7"/>
        <v>454.99999999999636</v>
      </c>
      <c r="V25" s="45">
        <f t="shared" si="8"/>
        <v>7.4999999999999289E-2</v>
      </c>
    </row>
    <row r="26" spans="5:22" ht="19" x14ac:dyDescent="0.25">
      <c r="F26" s="79"/>
      <c r="G26" s="80"/>
      <c r="H26" s="80"/>
      <c r="I26" s="97"/>
      <c r="J26" s="80"/>
      <c r="K26" s="80"/>
      <c r="L26" s="89"/>
      <c r="M26" s="80"/>
      <c r="N26" s="80"/>
      <c r="O26" s="71"/>
      <c r="Q26" s="13">
        <v>31340</v>
      </c>
      <c r="R26" s="35">
        <v>6.1</v>
      </c>
      <c r="S26" s="34">
        <v>30885.000000000004</v>
      </c>
      <c r="T26" s="35">
        <v>6.0250000000000004</v>
      </c>
      <c r="U26" s="44">
        <f t="shared" si="7"/>
        <v>454.99999999999636</v>
      </c>
      <c r="V26" s="45">
        <f t="shared" si="8"/>
        <v>7.4999999999999289E-2</v>
      </c>
    </row>
    <row r="27" spans="5:22" ht="19" x14ac:dyDescent="0.25">
      <c r="F27" s="79"/>
      <c r="G27" s="80"/>
      <c r="H27" s="80"/>
      <c r="I27" s="99" t="s">
        <v>59</v>
      </c>
      <c r="J27" s="80"/>
      <c r="K27" s="81" t="s">
        <v>1</v>
      </c>
      <c r="L27" s="82" t="s">
        <v>2</v>
      </c>
      <c r="M27" s="83"/>
      <c r="N27" s="80"/>
      <c r="O27" s="70"/>
      <c r="Q27" s="13">
        <v>31340</v>
      </c>
      <c r="R27" s="35">
        <v>6.1</v>
      </c>
      <c r="S27" s="34">
        <v>30885.000000000004</v>
      </c>
      <c r="T27" s="35">
        <v>6.0250000000000004</v>
      </c>
      <c r="U27" s="44">
        <f t="shared" si="7"/>
        <v>454.99999999999636</v>
      </c>
      <c r="V27" s="45">
        <f t="shared" si="8"/>
        <v>7.4999999999999289E-2</v>
      </c>
    </row>
    <row r="28" spans="5:22" ht="19" x14ac:dyDescent="0.25">
      <c r="F28" s="79"/>
      <c r="G28" s="80"/>
      <c r="H28" s="80"/>
      <c r="I28" s="98"/>
      <c r="J28" s="84"/>
      <c r="K28" s="85">
        <f>F7+F8</f>
        <v>30000</v>
      </c>
      <c r="L28" s="86">
        <f>F10</f>
        <v>7.5</v>
      </c>
      <c r="M28" s="80"/>
      <c r="N28" s="80"/>
      <c r="O28" s="70"/>
      <c r="Q28" s="13">
        <v>31340</v>
      </c>
      <c r="R28" s="35">
        <v>6.1</v>
      </c>
      <c r="S28" s="34">
        <v>30885.000000000004</v>
      </c>
      <c r="T28" s="35">
        <v>6.0250000000000004</v>
      </c>
      <c r="U28" s="44">
        <f t="shared" si="7"/>
        <v>454.99999999999636</v>
      </c>
      <c r="V28" s="45">
        <f t="shared" si="8"/>
        <v>7.4999999999999289E-2</v>
      </c>
    </row>
    <row r="29" spans="5:22" ht="20" thickBot="1" x14ac:dyDescent="0.3">
      <c r="E29" s="8"/>
      <c r="F29" s="87"/>
      <c r="G29" s="88">
        <f>F13</f>
        <v>0.41</v>
      </c>
      <c r="H29" s="80"/>
      <c r="I29" s="97"/>
      <c r="J29" s="80"/>
      <c r="K29" s="80"/>
      <c r="L29" s="89"/>
      <c r="M29" s="80"/>
      <c r="N29" s="80"/>
      <c r="O29" s="71"/>
      <c r="Q29" s="13">
        <v>31340</v>
      </c>
      <c r="R29" s="35">
        <v>6.1</v>
      </c>
      <c r="S29" s="34">
        <v>30885.000000000004</v>
      </c>
      <c r="T29" s="35">
        <v>6.0250000000000004</v>
      </c>
      <c r="U29" s="44">
        <f t="shared" si="7"/>
        <v>454.99999999999636</v>
      </c>
      <c r="V29" s="45">
        <f t="shared" si="8"/>
        <v>7.4999999999999289E-2</v>
      </c>
    </row>
    <row r="30" spans="5:22" ht="19" x14ac:dyDescent="0.25">
      <c r="F30" s="87" t="s">
        <v>15</v>
      </c>
      <c r="G30" s="80"/>
      <c r="H30" s="80"/>
      <c r="I30" s="97"/>
      <c r="J30" s="80"/>
      <c r="K30" s="80"/>
      <c r="L30" s="89"/>
      <c r="M30" s="113" t="s">
        <v>21</v>
      </c>
      <c r="N30" s="114" t="s">
        <v>20</v>
      </c>
      <c r="O30" s="71"/>
      <c r="Q30" s="13">
        <v>31340</v>
      </c>
      <c r="R30" s="35">
        <v>6.1</v>
      </c>
      <c r="S30" s="34">
        <v>30885.000000000004</v>
      </c>
      <c r="T30" s="35">
        <v>6.0250000000000004</v>
      </c>
      <c r="U30" s="44">
        <f t="shared" si="7"/>
        <v>454.99999999999636</v>
      </c>
      <c r="V30" s="45">
        <f t="shared" si="8"/>
        <v>7.4999999999999289E-2</v>
      </c>
    </row>
    <row r="31" spans="5:22" ht="20" thickBot="1" x14ac:dyDescent="0.3">
      <c r="E31" s="9"/>
      <c r="F31" s="95"/>
      <c r="G31" s="92"/>
      <c r="H31" s="80"/>
      <c r="I31" s="97"/>
      <c r="J31" s="80"/>
      <c r="K31" s="80"/>
      <c r="L31" s="89"/>
      <c r="M31" s="115">
        <f>G29*K28+G33*K35</f>
        <v>30885.000000000004</v>
      </c>
      <c r="N31" s="116">
        <f>G29*L28+G33*L35</f>
        <v>6.0250000000000004</v>
      </c>
      <c r="O31" s="71"/>
      <c r="Q31" s="13">
        <v>31340</v>
      </c>
      <c r="R31" s="35">
        <v>6.1</v>
      </c>
      <c r="S31" s="34">
        <v>30885.000000000004</v>
      </c>
      <c r="T31" s="35">
        <v>6.0250000000000004</v>
      </c>
      <c r="U31" s="44">
        <f t="shared" si="7"/>
        <v>454.99999999999636</v>
      </c>
      <c r="V31" s="45">
        <f t="shared" si="8"/>
        <v>7.4999999999999289E-2</v>
      </c>
    </row>
    <row r="32" spans="5:22" ht="19" x14ac:dyDescent="0.25">
      <c r="E32" s="10"/>
      <c r="F32" s="96"/>
      <c r="G32" s="92"/>
      <c r="H32" s="80"/>
      <c r="I32" s="97"/>
      <c r="J32" s="80"/>
      <c r="K32" s="80"/>
      <c r="L32" s="89"/>
      <c r="O32" s="71"/>
      <c r="Q32" s="13">
        <v>31340</v>
      </c>
      <c r="R32" s="35">
        <v>6.1</v>
      </c>
      <c r="S32" s="34">
        <v>30885.000000000004</v>
      </c>
      <c r="T32" s="35">
        <v>6.0250000000000004</v>
      </c>
      <c r="U32" s="44">
        <f t="shared" si="7"/>
        <v>454.99999999999636</v>
      </c>
      <c r="V32" s="45">
        <f t="shared" si="8"/>
        <v>7.4999999999999289E-2</v>
      </c>
    </row>
    <row r="33" spans="6:22" ht="19" x14ac:dyDescent="0.25">
      <c r="F33" s="80"/>
      <c r="G33" s="88">
        <f>1-G29</f>
        <v>0.59000000000000008</v>
      </c>
      <c r="H33" s="80"/>
      <c r="I33" s="97"/>
      <c r="J33" s="80"/>
      <c r="K33" s="80"/>
      <c r="L33" s="89"/>
      <c r="O33" s="71"/>
      <c r="Q33" s="13">
        <v>31340</v>
      </c>
      <c r="R33" s="35">
        <v>6.1</v>
      </c>
      <c r="S33" s="34">
        <v>30885.000000000004</v>
      </c>
      <c r="T33" s="35">
        <v>6.0250000000000004</v>
      </c>
      <c r="U33" s="44">
        <f t="shared" si="7"/>
        <v>454.99999999999636</v>
      </c>
      <c r="V33" s="45">
        <f t="shared" si="8"/>
        <v>7.4999999999999289E-2</v>
      </c>
    </row>
    <row r="34" spans="6:22" ht="19" x14ac:dyDescent="0.25">
      <c r="F34" s="80"/>
      <c r="G34" s="80"/>
      <c r="H34" s="80"/>
      <c r="I34" s="97"/>
      <c r="J34" s="80"/>
      <c r="K34" s="81" t="s">
        <v>1</v>
      </c>
      <c r="L34" s="82" t="s">
        <v>2</v>
      </c>
      <c r="M34" s="5"/>
      <c r="O34" s="70"/>
      <c r="Q34" s="13">
        <v>31340</v>
      </c>
      <c r="R34" s="35">
        <v>6.1</v>
      </c>
      <c r="S34" s="34">
        <v>30885.000000000004</v>
      </c>
      <c r="T34" s="35">
        <v>6.0250000000000004</v>
      </c>
      <c r="U34" s="44">
        <f t="shared" si="7"/>
        <v>454.99999999999636</v>
      </c>
      <c r="V34" s="45">
        <f t="shared" si="8"/>
        <v>7.4999999999999289E-2</v>
      </c>
    </row>
    <row r="35" spans="6:22" ht="19" x14ac:dyDescent="0.25">
      <c r="F35" s="80"/>
      <c r="G35" s="80"/>
      <c r="H35" s="80"/>
      <c r="I35" s="100" t="s">
        <v>60</v>
      </c>
      <c r="J35" s="84"/>
      <c r="K35" s="85">
        <f>F7+F9</f>
        <v>31500</v>
      </c>
      <c r="L35" s="86">
        <f>F11</f>
        <v>5</v>
      </c>
      <c r="O35" s="70"/>
      <c r="Q35" s="13">
        <v>31340</v>
      </c>
      <c r="R35" s="35">
        <v>6.1</v>
      </c>
      <c r="S35" s="34">
        <v>30885.000000000004</v>
      </c>
      <c r="T35" s="35">
        <v>6.0250000000000004</v>
      </c>
      <c r="U35" s="44">
        <f t="shared" si="7"/>
        <v>454.99999999999636</v>
      </c>
      <c r="V35" s="45">
        <f t="shared" si="8"/>
        <v>7.4999999999999289E-2</v>
      </c>
    </row>
    <row r="36" spans="6:22" x14ac:dyDescent="0.2">
      <c r="I36" s="40"/>
      <c r="O36" s="72"/>
      <c r="Q36" s="13">
        <v>31340</v>
      </c>
      <c r="R36" s="35">
        <v>6.1</v>
      </c>
      <c r="S36" s="34">
        <v>30885.000000000004</v>
      </c>
      <c r="T36" s="35">
        <v>6.0250000000000004</v>
      </c>
      <c r="U36" s="44">
        <f t="shared" si="7"/>
        <v>454.99999999999636</v>
      </c>
      <c r="V36" s="45">
        <f t="shared" si="8"/>
        <v>7.4999999999999289E-2</v>
      </c>
    </row>
    <row r="37" spans="6:22" x14ac:dyDescent="0.2">
      <c r="I37" s="40"/>
      <c r="Q37" s="13">
        <v>31340</v>
      </c>
      <c r="R37" s="35">
        <v>6.1</v>
      </c>
      <c r="S37" s="34">
        <v>30885.000000000004</v>
      </c>
      <c r="T37" s="35">
        <v>6.0250000000000004</v>
      </c>
      <c r="U37" s="44">
        <f t="shared" si="7"/>
        <v>454.99999999999636</v>
      </c>
      <c r="V37" s="45">
        <f t="shared" si="8"/>
        <v>7.4999999999999289E-2</v>
      </c>
    </row>
    <row r="38" spans="6:22" x14ac:dyDescent="0.2">
      <c r="I38" s="40"/>
      <c r="Q38" s="13">
        <v>31340</v>
      </c>
      <c r="R38" s="35">
        <v>6.1</v>
      </c>
      <c r="S38" s="34">
        <v>30885.000000000004</v>
      </c>
      <c r="T38" s="35">
        <v>6.0250000000000004</v>
      </c>
      <c r="U38" s="44">
        <f t="shared" si="7"/>
        <v>454.99999999999636</v>
      </c>
      <c r="V38" s="45">
        <f t="shared" si="8"/>
        <v>7.4999999999999289E-2</v>
      </c>
    </row>
    <row r="39" spans="6:22" x14ac:dyDescent="0.2">
      <c r="I39" s="40"/>
      <c r="Q39" s="13">
        <v>31340</v>
      </c>
      <c r="R39" s="35">
        <v>6.1</v>
      </c>
      <c r="S39" s="34">
        <v>30885.000000000004</v>
      </c>
      <c r="T39" s="35">
        <v>6.0250000000000004</v>
      </c>
      <c r="U39" s="44">
        <f t="shared" si="7"/>
        <v>454.99999999999636</v>
      </c>
      <c r="V39" s="45">
        <f t="shared" si="8"/>
        <v>7.4999999999999289E-2</v>
      </c>
    </row>
    <row r="40" spans="6:22" x14ac:dyDescent="0.2">
      <c r="I40" s="40"/>
      <c r="Q40" s="13">
        <v>31340</v>
      </c>
      <c r="R40" s="35">
        <v>6.1</v>
      </c>
      <c r="S40" s="34">
        <v>30885.000000000004</v>
      </c>
      <c r="T40" s="35">
        <v>6.0250000000000004</v>
      </c>
      <c r="U40" s="44">
        <f t="shared" si="7"/>
        <v>454.99999999999636</v>
      </c>
      <c r="V40" s="45">
        <f t="shared" si="8"/>
        <v>7.4999999999999289E-2</v>
      </c>
    </row>
    <row r="41" spans="6:22" x14ac:dyDescent="0.2">
      <c r="Q41" s="13">
        <v>31340</v>
      </c>
      <c r="R41" s="35">
        <v>6.1</v>
      </c>
      <c r="S41" s="34">
        <v>30885.000000000004</v>
      </c>
      <c r="T41" s="35">
        <v>6.0250000000000004</v>
      </c>
      <c r="U41" s="44">
        <f t="shared" si="7"/>
        <v>454.99999999999636</v>
      </c>
      <c r="V41" s="45">
        <f t="shared" si="8"/>
        <v>7.4999999999999289E-2</v>
      </c>
    </row>
    <row r="42" spans="6:22" x14ac:dyDescent="0.2">
      <c r="Q42" s="13">
        <v>31340</v>
      </c>
      <c r="R42" s="35">
        <v>6.1</v>
      </c>
      <c r="S42" s="34">
        <v>30885.000000000004</v>
      </c>
      <c r="T42" s="35">
        <v>6.0250000000000004</v>
      </c>
      <c r="U42" s="44">
        <f t="shared" si="7"/>
        <v>454.99999999999636</v>
      </c>
      <c r="V42" s="45">
        <f t="shared" si="8"/>
        <v>7.4999999999999289E-2</v>
      </c>
    </row>
    <row r="43" spans="6:22" x14ac:dyDescent="0.2">
      <c r="Q43" s="13">
        <v>31340</v>
      </c>
      <c r="R43" s="35">
        <v>6.1</v>
      </c>
      <c r="S43" s="34">
        <v>30885.000000000004</v>
      </c>
      <c r="T43" s="35">
        <v>6.0250000000000004</v>
      </c>
      <c r="U43" s="44">
        <f t="shared" si="7"/>
        <v>454.99999999999636</v>
      </c>
      <c r="V43" s="45">
        <f t="shared" si="8"/>
        <v>7.4999999999999289E-2</v>
      </c>
    </row>
    <row r="44" spans="6:22" x14ac:dyDescent="0.2">
      <c r="Q44" s="13">
        <v>31340</v>
      </c>
      <c r="R44" s="35">
        <v>6.1</v>
      </c>
      <c r="S44" s="34">
        <v>30885.000000000004</v>
      </c>
      <c r="T44" s="35">
        <v>6.0250000000000004</v>
      </c>
      <c r="U44" s="44">
        <f t="shared" si="7"/>
        <v>454.99999999999636</v>
      </c>
      <c r="V44" s="45">
        <f t="shared" si="8"/>
        <v>7.4999999999999289E-2</v>
      </c>
    </row>
    <row r="45" spans="6:22" x14ac:dyDescent="0.2">
      <c r="Q45" s="13">
        <v>31340</v>
      </c>
      <c r="R45" s="35">
        <v>6.1</v>
      </c>
      <c r="S45" s="34">
        <v>30885.000000000004</v>
      </c>
      <c r="T45" s="35">
        <v>6.0250000000000004</v>
      </c>
      <c r="U45" s="44">
        <f t="shared" si="7"/>
        <v>454.99999999999636</v>
      </c>
      <c r="V45" s="45">
        <f t="shared" si="8"/>
        <v>7.4999999999999289E-2</v>
      </c>
    </row>
    <row r="46" spans="6:22" x14ac:dyDescent="0.2">
      <c r="Q46" s="13">
        <v>31340</v>
      </c>
      <c r="R46" s="35">
        <v>6.1</v>
      </c>
      <c r="S46" s="34">
        <v>30885.000000000004</v>
      </c>
      <c r="T46" s="35">
        <v>6.0250000000000004</v>
      </c>
      <c r="U46" s="44">
        <f t="shared" si="7"/>
        <v>454.99999999999636</v>
      </c>
      <c r="V46" s="45">
        <f t="shared" si="8"/>
        <v>7.4999999999999289E-2</v>
      </c>
    </row>
    <row r="47" spans="6:22" x14ac:dyDescent="0.2">
      <c r="Q47" s="13">
        <v>31340</v>
      </c>
      <c r="R47" s="35">
        <v>6.1</v>
      </c>
      <c r="S47" s="34">
        <v>30885.000000000004</v>
      </c>
      <c r="T47" s="35">
        <v>6.0250000000000004</v>
      </c>
      <c r="U47" s="44">
        <f t="shared" si="7"/>
        <v>454.99999999999636</v>
      </c>
      <c r="V47" s="45">
        <f t="shared" si="8"/>
        <v>7.4999999999999289E-2</v>
      </c>
    </row>
    <row r="48" spans="6:22" x14ac:dyDescent="0.2">
      <c r="Q48" s="13">
        <v>31340</v>
      </c>
      <c r="R48" s="35">
        <v>6.1</v>
      </c>
      <c r="S48" s="34">
        <v>30885.000000000004</v>
      </c>
      <c r="T48" s="35">
        <v>6.0250000000000004</v>
      </c>
      <c r="U48" s="44">
        <f t="shared" si="7"/>
        <v>454.99999999999636</v>
      </c>
      <c r="V48" s="45">
        <f t="shared" si="8"/>
        <v>7.4999999999999289E-2</v>
      </c>
    </row>
    <row r="49" spans="17:22" x14ac:dyDescent="0.2">
      <c r="Q49" s="13">
        <v>31340</v>
      </c>
      <c r="R49" s="35">
        <v>6.1</v>
      </c>
      <c r="S49" s="34">
        <v>30885.000000000004</v>
      </c>
      <c r="T49" s="35">
        <v>6.0250000000000004</v>
      </c>
      <c r="U49" s="44">
        <f t="shared" si="7"/>
        <v>454.99999999999636</v>
      </c>
      <c r="V49" s="45">
        <f t="shared" si="8"/>
        <v>7.4999999999999289E-2</v>
      </c>
    </row>
    <row r="50" spans="17:22" x14ac:dyDescent="0.2">
      <c r="Q50" s="13">
        <v>31340</v>
      </c>
      <c r="R50" s="35">
        <v>6.1</v>
      </c>
      <c r="S50" s="34">
        <v>30885.000000000004</v>
      </c>
      <c r="T50" s="35">
        <v>6.0250000000000004</v>
      </c>
      <c r="U50" s="44">
        <f t="shared" si="7"/>
        <v>454.99999999999636</v>
      </c>
      <c r="V50" s="45">
        <f t="shared" si="8"/>
        <v>7.4999999999999289E-2</v>
      </c>
    </row>
    <row r="51" spans="17:22" x14ac:dyDescent="0.2">
      <c r="Q51" s="13">
        <v>31340</v>
      </c>
      <c r="R51" s="35">
        <v>6.1</v>
      </c>
      <c r="S51" s="34">
        <v>30885.000000000004</v>
      </c>
      <c r="T51" s="35">
        <v>6.0250000000000004</v>
      </c>
      <c r="U51" s="44">
        <f t="shared" si="7"/>
        <v>454.99999999999636</v>
      </c>
      <c r="V51" s="45">
        <f t="shared" si="8"/>
        <v>7.4999999999999289E-2</v>
      </c>
    </row>
    <row r="52" spans="17:22" x14ac:dyDescent="0.2">
      <c r="Q52" s="13">
        <v>31340</v>
      </c>
      <c r="R52" s="35">
        <v>6.1</v>
      </c>
      <c r="S52" s="34">
        <v>30885.000000000004</v>
      </c>
      <c r="T52" s="35">
        <v>6.0250000000000004</v>
      </c>
      <c r="U52" s="44">
        <f t="shared" si="7"/>
        <v>454.99999999999636</v>
      </c>
      <c r="V52" s="45">
        <f t="shared" si="8"/>
        <v>7.4999999999999289E-2</v>
      </c>
    </row>
    <row r="53" spans="17:22" x14ac:dyDescent="0.2">
      <c r="Q53" s="13">
        <v>31340</v>
      </c>
      <c r="R53" s="35">
        <v>6.1</v>
      </c>
      <c r="S53" s="34">
        <v>30885.000000000004</v>
      </c>
      <c r="T53" s="35">
        <v>6.0250000000000004</v>
      </c>
      <c r="U53" s="44">
        <f t="shared" si="7"/>
        <v>454.99999999999636</v>
      </c>
      <c r="V53" s="45">
        <f t="shared" si="8"/>
        <v>7.4999999999999289E-2</v>
      </c>
    </row>
    <row r="54" spans="17:22" x14ac:dyDescent="0.2">
      <c r="Q54" s="13">
        <v>31340</v>
      </c>
      <c r="R54" s="35">
        <v>6.1</v>
      </c>
      <c r="S54" s="34">
        <v>30885.000000000004</v>
      </c>
      <c r="T54" s="35">
        <v>6.0250000000000004</v>
      </c>
      <c r="U54" s="44">
        <f t="shared" si="7"/>
        <v>454.99999999999636</v>
      </c>
      <c r="V54" s="45">
        <f t="shared" si="8"/>
        <v>7.4999999999999289E-2</v>
      </c>
    </row>
    <row r="55" spans="17:22" x14ac:dyDescent="0.2">
      <c r="Q55" s="13">
        <v>31340</v>
      </c>
      <c r="R55" s="35">
        <v>6.1</v>
      </c>
      <c r="S55" s="34">
        <v>30885.000000000004</v>
      </c>
      <c r="T55" s="35">
        <v>6.0250000000000004</v>
      </c>
      <c r="U55" s="44">
        <f t="shared" si="7"/>
        <v>454.99999999999636</v>
      </c>
      <c r="V55" s="45">
        <f t="shared" si="8"/>
        <v>7.4999999999999289E-2</v>
      </c>
    </row>
    <row r="56" spans="17:22" x14ac:dyDescent="0.2">
      <c r="Q56" s="13">
        <v>31340</v>
      </c>
      <c r="R56" s="35">
        <v>6.1</v>
      </c>
      <c r="S56" s="34">
        <v>30885.000000000004</v>
      </c>
      <c r="T56" s="35">
        <v>6.0250000000000004</v>
      </c>
      <c r="U56" s="44">
        <f t="shared" si="7"/>
        <v>454.99999999999636</v>
      </c>
      <c r="V56" s="45">
        <f t="shared" si="8"/>
        <v>7.4999999999999289E-2</v>
      </c>
    </row>
    <row r="57" spans="17:22" x14ac:dyDescent="0.2">
      <c r="Q57" s="13">
        <v>31340</v>
      </c>
      <c r="R57" s="35">
        <v>6.1</v>
      </c>
      <c r="S57" s="34">
        <v>30885.000000000004</v>
      </c>
      <c r="T57" s="35">
        <v>6.0250000000000004</v>
      </c>
      <c r="U57" s="44">
        <f t="shared" si="7"/>
        <v>454.99999999999636</v>
      </c>
      <c r="V57" s="45">
        <f t="shared" si="8"/>
        <v>7.4999999999999289E-2</v>
      </c>
    </row>
    <row r="58" spans="17:22" x14ac:dyDescent="0.2">
      <c r="Q58" s="13">
        <v>31340</v>
      </c>
      <c r="R58" s="35">
        <v>6.1</v>
      </c>
      <c r="S58" s="34">
        <v>30885.000000000004</v>
      </c>
      <c r="T58" s="35">
        <v>6.0250000000000004</v>
      </c>
      <c r="U58" s="44">
        <f t="shared" si="7"/>
        <v>454.99999999999636</v>
      </c>
      <c r="V58" s="45">
        <f t="shared" si="8"/>
        <v>7.4999999999999289E-2</v>
      </c>
    </row>
    <row r="59" spans="17:22" x14ac:dyDescent="0.2">
      <c r="Q59" s="13">
        <v>31340</v>
      </c>
      <c r="R59" s="35">
        <v>6.1</v>
      </c>
      <c r="S59" s="34">
        <v>30885.000000000004</v>
      </c>
      <c r="T59" s="35">
        <v>6.0250000000000004</v>
      </c>
      <c r="U59" s="44">
        <f t="shared" si="7"/>
        <v>454.99999999999636</v>
      </c>
      <c r="V59" s="45">
        <f t="shared" si="8"/>
        <v>7.4999999999999289E-2</v>
      </c>
    </row>
    <row r="60" spans="17:22" x14ac:dyDescent="0.2">
      <c r="Q60" s="13">
        <v>31340</v>
      </c>
      <c r="R60" s="35">
        <v>6.1</v>
      </c>
      <c r="S60" s="34">
        <v>30885.000000000004</v>
      </c>
      <c r="T60" s="35">
        <v>6.0250000000000004</v>
      </c>
      <c r="U60" s="44">
        <f t="shared" si="7"/>
        <v>454.99999999999636</v>
      </c>
      <c r="V60" s="45">
        <f t="shared" si="8"/>
        <v>7.4999999999999289E-2</v>
      </c>
    </row>
    <row r="61" spans="17:22" x14ac:dyDescent="0.2">
      <c r="Q61" s="13">
        <v>31340</v>
      </c>
      <c r="R61" s="35">
        <v>6.1</v>
      </c>
      <c r="S61" s="34">
        <v>30885.000000000004</v>
      </c>
      <c r="T61" s="35">
        <v>6.0250000000000004</v>
      </c>
      <c r="U61" s="44">
        <f t="shared" si="7"/>
        <v>454.99999999999636</v>
      </c>
      <c r="V61" s="45">
        <f t="shared" si="8"/>
        <v>7.4999999999999289E-2</v>
      </c>
    </row>
    <row r="62" spans="17:22" x14ac:dyDescent="0.2">
      <c r="Q62" s="13">
        <v>31340</v>
      </c>
      <c r="R62" s="35">
        <v>6.1</v>
      </c>
      <c r="S62" s="34">
        <v>30885.000000000004</v>
      </c>
      <c r="T62" s="35">
        <v>6.0250000000000004</v>
      </c>
      <c r="U62" s="44">
        <f t="shared" si="7"/>
        <v>454.99999999999636</v>
      </c>
      <c r="V62" s="45">
        <f t="shared" si="8"/>
        <v>7.4999999999999289E-2</v>
      </c>
    </row>
    <row r="63" spans="17:22" x14ac:dyDescent="0.2">
      <c r="Q63" s="13">
        <v>31340</v>
      </c>
      <c r="R63" s="35">
        <v>6.1</v>
      </c>
      <c r="S63" s="34">
        <v>30885.000000000004</v>
      </c>
      <c r="T63" s="35">
        <v>6.0250000000000004</v>
      </c>
      <c r="U63" s="44">
        <f t="shared" si="7"/>
        <v>454.99999999999636</v>
      </c>
      <c r="V63" s="45">
        <f t="shared" si="8"/>
        <v>7.4999999999999289E-2</v>
      </c>
    </row>
    <row r="64" spans="17:22" x14ac:dyDescent="0.2">
      <c r="Q64" s="13">
        <v>31340</v>
      </c>
      <c r="R64" s="35">
        <v>6.1</v>
      </c>
      <c r="S64" s="34">
        <v>30885.000000000004</v>
      </c>
      <c r="T64" s="35">
        <v>6.0250000000000004</v>
      </c>
      <c r="U64" s="44">
        <f t="shared" si="7"/>
        <v>454.99999999999636</v>
      </c>
      <c r="V64" s="45">
        <f t="shared" si="8"/>
        <v>7.4999999999999289E-2</v>
      </c>
    </row>
    <row r="65" spans="17:22" x14ac:dyDescent="0.2">
      <c r="Q65" s="13">
        <v>31340</v>
      </c>
      <c r="R65" s="35">
        <v>6.1</v>
      </c>
      <c r="S65" s="34">
        <v>30885.000000000004</v>
      </c>
      <c r="T65" s="35">
        <v>6.0250000000000004</v>
      </c>
      <c r="U65" s="44">
        <f t="shared" si="7"/>
        <v>454.99999999999636</v>
      </c>
      <c r="V65" s="45">
        <f t="shared" si="8"/>
        <v>7.4999999999999289E-2</v>
      </c>
    </row>
    <row r="66" spans="17:22" x14ac:dyDescent="0.2">
      <c r="Q66" s="13">
        <v>31340</v>
      </c>
      <c r="R66" s="35">
        <v>6.1</v>
      </c>
      <c r="S66" s="34">
        <v>30885.000000000004</v>
      </c>
      <c r="T66" s="35">
        <v>6.0250000000000004</v>
      </c>
      <c r="U66" s="44">
        <f t="shared" si="7"/>
        <v>454.99999999999636</v>
      </c>
      <c r="V66" s="45">
        <f t="shared" si="8"/>
        <v>7.4999999999999289E-2</v>
      </c>
    </row>
    <row r="67" spans="17:22" x14ac:dyDescent="0.2">
      <c r="Q67" s="13">
        <v>31340</v>
      </c>
      <c r="R67" s="35">
        <v>6.1</v>
      </c>
      <c r="S67" s="34">
        <v>30885.000000000004</v>
      </c>
      <c r="T67" s="35">
        <v>6.0250000000000004</v>
      </c>
      <c r="U67" s="44">
        <f t="shared" si="7"/>
        <v>454.99999999999636</v>
      </c>
      <c r="V67" s="45">
        <f t="shared" si="8"/>
        <v>7.4999999999999289E-2</v>
      </c>
    </row>
    <row r="68" spans="17:22" x14ac:dyDescent="0.2">
      <c r="Q68" s="13">
        <v>31340</v>
      </c>
      <c r="R68" s="35">
        <v>6.1</v>
      </c>
      <c r="S68" s="34">
        <v>30885.000000000004</v>
      </c>
      <c r="T68" s="35">
        <v>6.0250000000000004</v>
      </c>
      <c r="U68" s="44">
        <f t="shared" si="7"/>
        <v>454.99999999999636</v>
      </c>
      <c r="V68" s="45">
        <f t="shared" si="8"/>
        <v>7.4999999999999289E-2</v>
      </c>
    </row>
    <row r="69" spans="17:22" x14ac:dyDescent="0.2">
      <c r="Q69" s="13">
        <v>31340</v>
      </c>
      <c r="R69" s="35">
        <v>6.1</v>
      </c>
      <c r="S69" s="34">
        <v>30885.000000000004</v>
      </c>
      <c r="T69" s="35">
        <v>6.0250000000000004</v>
      </c>
      <c r="U69" s="44">
        <f t="shared" si="7"/>
        <v>454.99999999999636</v>
      </c>
      <c r="V69" s="45">
        <f t="shared" si="8"/>
        <v>7.4999999999999289E-2</v>
      </c>
    </row>
    <row r="70" spans="17:22" x14ac:dyDescent="0.2">
      <c r="Q70" s="13">
        <v>31340</v>
      </c>
      <c r="R70" s="35">
        <v>6.1</v>
      </c>
      <c r="S70" s="34">
        <v>30885.000000000004</v>
      </c>
      <c r="T70" s="35">
        <v>6.0250000000000004</v>
      </c>
      <c r="U70" s="44">
        <f t="shared" si="7"/>
        <v>454.99999999999636</v>
      </c>
      <c r="V70" s="45">
        <f t="shared" si="8"/>
        <v>7.4999999999999289E-2</v>
      </c>
    </row>
    <row r="71" spans="17:22" x14ac:dyDescent="0.2">
      <c r="Q71" s="13">
        <v>31340</v>
      </c>
      <c r="R71" s="35">
        <v>6.1</v>
      </c>
      <c r="S71" s="34">
        <v>30885.000000000004</v>
      </c>
      <c r="T71" s="35">
        <v>6.0250000000000004</v>
      </c>
      <c r="U71" s="44">
        <f t="shared" si="7"/>
        <v>454.99999999999636</v>
      </c>
      <c r="V71" s="45">
        <f t="shared" si="8"/>
        <v>7.4999999999999289E-2</v>
      </c>
    </row>
    <row r="72" spans="17:22" x14ac:dyDescent="0.2">
      <c r="Q72" s="13">
        <v>31340</v>
      </c>
      <c r="R72" s="35">
        <v>6.1</v>
      </c>
      <c r="S72" s="34">
        <v>30885.000000000004</v>
      </c>
      <c r="T72" s="35">
        <v>6.0250000000000004</v>
      </c>
      <c r="U72" s="44">
        <f t="shared" si="7"/>
        <v>454.99999999999636</v>
      </c>
      <c r="V72" s="45">
        <f t="shared" si="8"/>
        <v>7.4999999999999289E-2</v>
      </c>
    </row>
    <row r="73" spans="17:22" x14ac:dyDescent="0.2">
      <c r="Q73" s="13">
        <v>31340</v>
      </c>
      <c r="R73" s="35">
        <v>6.1</v>
      </c>
      <c r="S73" s="34">
        <v>30885.000000000004</v>
      </c>
      <c r="T73" s="35">
        <v>6.0250000000000004</v>
      </c>
      <c r="U73" s="44">
        <f t="shared" ref="U73:U107" si="9">Q73-S73</f>
        <v>454.99999999999636</v>
      </c>
      <c r="V73" s="45">
        <f t="shared" ref="V73:V107" si="10">R73-T73</f>
        <v>7.4999999999999289E-2</v>
      </c>
    </row>
    <row r="74" spans="17:22" x14ac:dyDescent="0.2">
      <c r="Q74" s="13">
        <v>31340</v>
      </c>
      <c r="R74" s="35">
        <v>6.1</v>
      </c>
      <c r="S74" s="34">
        <v>30885.000000000004</v>
      </c>
      <c r="T74" s="35">
        <v>6.0250000000000004</v>
      </c>
      <c r="U74" s="44">
        <f t="shared" si="9"/>
        <v>454.99999999999636</v>
      </c>
      <c r="V74" s="45">
        <f t="shared" si="10"/>
        <v>7.4999999999999289E-2</v>
      </c>
    </row>
    <row r="75" spans="17:22" x14ac:dyDescent="0.2">
      <c r="Q75" s="13">
        <v>31340</v>
      </c>
      <c r="R75" s="35">
        <v>6.1</v>
      </c>
      <c r="S75" s="34">
        <v>30885.000000000004</v>
      </c>
      <c r="T75" s="35">
        <v>6.0250000000000004</v>
      </c>
      <c r="U75" s="44">
        <f t="shared" si="9"/>
        <v>454.99999999999636</v>
      </c>
      <c r="V75" s="45">
        <f t="shared" si="10"/>
        <v>7.4999999999999289E-2</v>
      </c>
    </row>
    <row r="76" spans="17:22" x14ac:dyDescent="0.2">
      <c r="Q76" s="13">
        <v>31340</v>
      </c>
      <c r="R76" s="35">
        <v>6.1</v>
      </c>
      <c r="S76" s="34">
        <v>30885.000000000004</v>
      </c>
      <c r="T76" s="35">
        <v>6.0250000000000004</v>
      </c>
      <c r="U76" s="44">
        <f t="shared" si="9"/>
        <v>454.99999999999636</v>
      </c>
      <c r="V76" s="45">
        <f t="shared" si="10"/>
        <v>7.4999999999999289E-2</v>
      </c>
    </row>
    <row r="77" spans="17:22" x14ac:dyDescent="0.2">
      <c r="Q77" s="13">
        <v>31340</v>
      </c>
      <c r="R77" s="35">
        <v>6.1</v>
      </c>
      <c r="S77" s="34">
        <v>30885.000000000004</v>
      </c>
      <c r="T77" s="35">
        <v>6.0250000000000004</v>
      </c>
      <c r="U77" s="44">
        <f t="shared" si="9"/>
        <v>454.99999999999636</v>
      </c>
      <c r="V77" s="45">
        <f t="shared" si="10"/>
        <v>7.4999999999999289E-2</v>
      </c>
    </row>
    <row r="78" spans="17:22" x14ac:dyDescent="0.2">
      <c r="Q78" s="13">
        <v>31340</v>
      </c>
      <c r="R78" s="35">
        <v>6.1</v>
      </c>
      <c r="S78" s="34">
        <v>30885.000000000004</v>
      </c>
      <c r="T78" s="35">
        <v>6.0250000000000004</v>
      </c>
      <c r="U78" s="44">
        <f t="shared" si="9"/>
        <v>454.99999999999636</v>
      </c>
      <c r="V78" s="45">
        <f t="shared" si="10"/>
        <v>7.4999999999999289E-2</v>
      </c>
    </row>
    <row r="79" spans="17:22" x14ac:dyDescent="0.2">
      <c r="Q79" s="13">
        <v>31340</v>
      </c>
      <c r="R79" s="35">
        <v>6.1</v>
      </c>
      <c r="S79" s="34">
        <v>30885.000000000004</v>
      </c>
      <c r="T79" s="35">
        <v>6.0250000000000004</v>
      </c>
      <c r="U79" s="44">
        <f t="shared" si="9"/>
        <v>454.99999999999636</v>
      </c>
      <c r="V79" s="45">
        <f t="shared" si="10"/>
        <v>7.4999999999999289E-2</v>
      </c>
    </row>
    <row r="80" spans="17:22" x14ac:dyDescent="0.2">
      <c r="Q80" s="13">
        <v>31340</v>
      </c>
      <c r="R80" s="35">
        <v>6.1</v>
      </c>
      <c r="S80" s="34">
        <v>30885.000000000004</v>
      </c>
      <c r="T80" s="35">
        <v>6.0250000000000004</v>
      </c>
      <c r="U80" s="44">
        <f t="shared" si="9"/>
        <v>454.99999999999636</v>
      </c>
      <c r="V80" s="45">
        <f t="shared" si="10"/>
        <v>7.4999999999999289E-2</v>
      </c>
    </row>
    <row r="81" spans="17:22" x14ac:dyDescent="0.2">
      <c r="Q81" s="13">
        <v>31340</v>
      </c>
      <c r="R81" s="35">
        <v>6.1</v>
      </c>
      <c r="S81" s="34">
        <v>30885.000000000004</v>
      </c>
      <c r="T81" s="35">
        <v>6.0250000000000004</v>
      </c>
      <c r="U81" s="44">
        <f t="shared" si="9"/>
        <v>454.99999999999636</v>
      </c>
      <c r="V81" s="45">
        <f t="shared" si="10"/>
        <v>7.4999999999999289E-2</v>
      </c>
    </row>
    <row r="82" spans="17:22" x14ac:dyDescent="0.2">
      <c r="Q82" s="13">
        <v>31340</v>
      </c>
      <c r="R82" s="35">
        <v>6.1</v>
      </c>
      <c r="S82" s="34">
        <v>30885.000000000004</v>
      </c>
      <c r="T82" s="35">
        <v>6.0250000000000004</v>
      </c>
      <c r="U82" s="44">
        <f t="shared" si="9"/>
        <v>454.99999999999636</v>
      </c>
      <c r="V82" s="45">
        <f t="shared" si="10"/>
        <v>7.4999999999999289E-2</v>
      </c>
    </row>
    <row r="83" spans="17:22" x14ac:dyDescent="0.2">
      <c r="Q83" s="13">
        <v>31340</v>
      </c>
      <c r="R83" s="35">
        <v>6.1</v>
      </c>
      <c r="S83" s="34">
        <v>30885.000000000004</v>
      </c>
      <c r="T83" s="35">
        <v>6.0250000000000004</v>
      </c>
      <c r="U83" s="44">
        <f t="shared" si="9"/>
        <v>454.99999999999636</v>
      </c>
      <c r="V83" s="45">
        <f t="shared" si="10"/>
        <v>7.4999999999999289E-2</v>
      </c>
    </row>
    <row r="84" spans="17:22" x14ac:dyDescent="0.2">
      <c r="Q84" s="13">
        <v>31340</v>
      </c>
      <c r="R84" s="35">
        <v>6.1</v>
      </c>
      <c r="S84" s="34">
        <v>30885.000000000004</v>
      </c>
      <c r="T84" s="35">
        <v>6.0250000000000004</v>
      </c>
      <c r="U84" s="44">
        <f t="shared" si="9"/>
        <v>454.99999999999636</v>
      </c>
      <c r="V84" s="45">
        <f t="shared" si="10"/>
        <v>7.4999999999999289E-2</v>
      </c>
    </row>
    <row r="85" spans="17:22" x14ac:dyDescent="0.2">
      <c r="Q85" s="13">
        <v>31340</v>
      </c>
      <c r="R85" s="35">
        <v>6.1</v>
      </c>
      <c r="S85" s="34">
        <v>30885.000000000004</v>
      </c>
      <c r="T85" s="35">
        <v>6.0250000000000004</v>
      </c>
      <c r="U85" s="44">
        <f t="shared" si="9"/>
        <v>454.99999999999636</v>
      </c>
      <c r="V85" s="45">
        <f t="shared" si="10"/>
        <v>7.4999999999999289E-2</v>
      </c>
    </row>
    <row r="86" spans="17:22" x14ac:dyDescent="0.2">
      <c r="Q86" s="13">
        <v>31340</v>
      </c>
      <c r="R86" s="35">
        <v>6.1</v>
      </c>
      <c r="S86" s="34">
        <v>30885.000000000004</v>
      </c>
      <c r="T86" s="35">
        <v>6.0250000000000004</v>
      </c>
      <c r="U86" s="44">
        <f t="shared" si="9"/>
        <v>454.99999999999636</v>
      </c>
      <c r="V86" s="45">
        <f t="shared" si="10"/>
        <v>7.4999999999999289E-2</v>
      </c>
    </row>
    <row r="87" spans="17:22" x14ac:dyDescent="0.2">
      <c r="Q87" s="13">
        <v>31340</v>
      </c>
      <c r="R87" s="35">
        <v>6.1</v>
      </c>
      <c r="S87" s="34">
        <v>30885.000000000004</v>
      </c>
      <c r="T87" s="35">
        <v>6.0250000000000004</v>
      </c>
      <c r="U87" s="44">
        <f t="shared" si="9"/>
        <v>454.99999999999636</v>
      </c>
      <c r="V87" s="45">
        <f t="shared" si="10"/>
        <v>7.4999999999999289E-2</v>
      </c>
    </row>
    <row r="88" spans="17:22" x14ac:dyDescent="0.2">
      <c r="Q88" s="13">
        <v>31340</v>
      </c>
      <c r="R88" s="35">
        <v>6.1</v>
      </c>
      <c r="S88" s="34">
        <v>30885.000000000004</v>
      </c>
      <c r="T88" s="35">
        <v>6.0250000000000004</v>
      </c>
      <c r="U88" s="44">
        <f t="shared" si="9"/>
        <v>454.99999999999636</v>
      </c>
      <c r="V88" s="45">
        <f t="shared" si="10"/>
        <v>7.4999999999999289E-2</v>
      </c>
    </row>
    <row r="89" spans="17:22" x14ac:dyDescent="0.2">
      <c r="Q89" s="13">
        <v>31340</v>
      </c>
      <c r="R89" s="35">
        <v>6.1</v>
      </c>
      <c r="S89" s="34">
        <v>30885.000000000004</v>
      </c>
      <c r="T89" s="35">
        <v>6.0250000000000004</v>
      </c>
      <c r="U89" s="44">
        <f t="shared" si="9"/>
        <v>454.99999999999636</v>
      </c>
      <c r="V89" s="45">
        <f t="shared" si="10"/>
        <v>7.4999999999999289E-2</v>
      </c>
    </row>
    <row r="90" spans="17:22" x14ac:dyDescent="0.2">
      <c r="Q90" s="13">
        <v>31340</v>
      </c>
      <c r="R90" s="35">
        <v>6.1</v>
      </c>
      <c r="S90" s="34">
        <v>30885.000000000004</v>
      </c>
      <c r="T90" s="35">
        <v>6.0250000000000004</v>
      </c>
      <c r="U90" s="44">
        <f t="shared" si="9"/>
        <v>454.99999999999636</v>
      </c>
      <c r="V90" s="45">
        <f t="shared" si="10"/>
        <v>7.4999999999999289E-2</v>
      </c>
    </row>
    <row r="91" spans="17:22" x14ac:dyDescent="0.2">
      <c r="Q91" s="13">
        <v>31340</v>
      </c>
      <c r="R91" s="35">
        <v>6.1</v>
      </c>
      <c r="S91" s="34">
        <v>30885.000000000004</v>
      </c>
      <c r="T91" s="35">
        <v>6.0250000000000004</v>
      </c>
      <c r="U91" s="44">
        <f t="shared" si="9"/>
        <v>454.99999999999636</v>
      </c>
      <c r="V91" s="45">
        <f t="shared" si="10"/>
        <v>7.4999999999999289E-2</v>
      </c>
    </row>
    <row r="92" spans="17:22" x14ac:dyDescent="0.2">
      <c r="Q92" s="13">
        <v>31340</v>
      </c>
      <c r="R92" s="35">
        <v>6.1</v>
      </c>
      <c r="S92" s="34">
        <v>30885.000000000004</v>
      </c>
      <c r="T92" s="35">
        <v>6.0250000000000004</v>
      </c>
      <c r="U92" s="44">
        <f t="shared" si="9"/>
        <v>454.99999999999636</v>
      </c>
      <c r="V92" s="45">
        <f t="shared" si="10"/>
        <v>7.4999999999999289E-2</v>
      </c>
    </row>
    <row r="93" spans="17:22" x14ac:dyDescent="0.2">
      <c r="Q93" s="13">
        <v>31340</v>
      </c>
      <c r="R93" s="35">
        <v>6.1</v>
      </c>
      <c r="S93" s="34">
        <v>30885.000000000004</v>
      </c>
      <c r="T93" s="35">
        <v>6.0250000000000004</v>
      </c>
      <c r="U93" s="44">
        <f t="shared" si="9"/>
        <v>454.99999999999636</v>
      </c>
      <c r="V93" s="45">
        <f t="shared" si="10"/>
        <v>7.4999999999999289E-2</v>
      </c>
    </row>
    <row r="94" spans="17:22" x14ac:dyDescent="0.2">
      <c r="Q94" s="13">
        <v>31340</v>
      </c>
      <c r="R94" s="35">
        <v>6.1</v>
      </c>
      <c r="S94" s="34">
        <v>30885.000000000004</v>
      </c>
      <c r="T94" s="35">
        <v>6.0250000000000004</v>
      </c>
      <c r="U94" s="44">
        <f t="shared" si="9"/>
        <v>454.99999999999636</v>
      </c>
      <c r="V94" s="45">
        <f t="shared" si="10"/>
        <v>7.4999999999999289E-2</v>
      </c>
    </row>
    <row r="95" spans="17:22" x14ac:dyDescent="0.2">
      <c r="Q95" s="13">
        <v>31340</v>
      </c>
      <c r="R95" s="35">
        <v>6.1</v>
      </c>
      <c r="S95" s="34">
        <v>30885.000000000004</v>
      </c>
      <c r="T95" s="35">
        <v>6.0250000000000004</v>
      </c>
      <c r="U95" s="44">
        <f t="shared" si="9"/>
        <v>454.99999999999636</v>
      </c>
      <c r="V95" s="45">
        <f t="shared" si="10"/>
        <v>7.4999999999999289E-2</v>
      </c>
    </row>
    <row r="96" spans="17:22" x14ac:dyDescent="0.2">
      <c r="Q96" s="13">
        <v>31340</v>
      </c>
      <c r="R96" s="35">
        <v>6.1</v>
      </c>
      <c r="S96" s="34">
        <v>30885.000000000004</v>
      </c>
      <c r="T96" s="35">
        <v>6.0250000000000004</v>
      </c>
      <c r="U96" s="44">
        <f t="shared" si="9"/>
        <v>454.99999999999636</v>
      </c>
      <c r="V96" s="45">
        <f t="shared" si="10"/>
        <v>7.4999999999999289E-2</v>
      </c>
    </row>
    <row r="97" spans="16:22" x14ac:dyDescent="0.2">
      <c r="Q97" s="13">
        <v>31340</v>
      </c>
      <c r="R97" s="35">
        <v>6.1</v>
      </c>
      <c r="S97" s="34">
        <v>30885.000000000004</v>
      </c>
      <c r="T97" s="35">
        <v>6.0250000000000004</v>
      </c>
      <c r="U97" s="44">
        <f t="shared" si="9"/>
        <v>454.99999999999636</v>
      </c>
      <c r="V97" s="45">
        <f t="shared" si="10"/>
        <v>7.4999999999999289E-2</v>
      </c>
    </row>
    <row r="98" spans="16:22" x14ac:dyDescent="0.2">
      <c r="Q98" s="13">
        <v>31340</v>
      </c>
      <c r="R98" s="35">
        <v>6.1</v>
      </c>
      <c r="S98" s="34">
        <v>30885.000000000004</v>
      </c>
      <c r="T98" s="35">
        <v>6.0250000000000004</v>
      </c>
      <c r="U98" s="44">
        <f t="shared" si="9"/>
        <v>454.99999999999636</v>
      </c>
      <c r="V98" s="45">
        <f t="shared" si="10"/>
        <v>7.4999999999999289E-2</v>
      </c>
    </row>
    <row r="99" spans="16:22" x14ac:dyDescent="0.2">
      <c r="Q99" s="13">
        <v>31340</v>
      </c>
      <c r="R99" s="35">
        <v>6.1</v>
      </c>
      <c r="S99" s="34">
        <v>30885.000000000004</v>
      </c>
      <c r="T99" s="35">
        <v>6.0250000000000004</v>
      </c>
      <c r="U99" s="44">
        <f t="shared" si="9"/>
        <v>454.99999999999636</v>
      </c>
      <c r="V99" s="45">
        <f t="shared" si="10"/>
        <v>7.4999999999999289E-2</v>
      </c>
    </row>
    <row r="100" spans="16:22" x14ac:dyDescent="0.2">
      <c r="Q100" s="13">
        <v>31340</v>
      </c>
      <c r="R100" s="35">
        <v>6.1</v>
      </c>
      <c r="S100" s="34">
        <v>30885.000000000004</v>
      </c>
      <c r="T100" s="35">
        <v>6.0250000000000004</v>
      </c>
      <c r="U100" s="44">
        <f t="shared" si="9"/>
        <v>454.99999999999636</v>
      </c>
      <c r="V100" s="45">
        <f t="shared" si="10"/>
        <v>7.4999999999999289E-2</v>
      </c>
    </row>
    <row r="101" spans="16:22" x14ac:dyDescent="0.2">
      <c r="Q101" s="13">
        <v>31340</v>
      </c>
      <c r="R101" s="35">
        <v>6.1</v>
      </c>
      <c r="S101" s="34">
        <v>30885.000000000004</v>
      </c>
      <c r="T101" s="35">
        <v>6.0250000000000004</v>
      </c>
      <c r="U101" s="44">
        <f t="shared" si="9"/>
        <v>454.99999999999636</v>
      </c>
      <c r="V101" s="45">
        <f t="shared" si="10"/>
        <v>7.4999999999999289E-2</v>
      </c>
    </row>
    <row r="102" spans="16:22" x14ac:dyDescent="0.2">
      <c r="Q102" s="13">
        <v>31340</v>
      </c>
      <c r="R102" s="35">
        <v>6.1</v>
      </c>
      <c r="S102" s="34">
        <v>30885.000000000004</v>
      </c>
      <c r="T102" s="35">
        <v>6.0250000000000004</v>
      </c>
      <c r="U102" s="44">
        <f t="shared" si="9"/>
        <v>454.99999999999636</v>
      </c>
      <c r="V102" s="45">
        <f t="shared" si="10"/>
        <v>7.4999999999999289E-2</v>
      </c>
    </row>
    <row r="103" spans="16:22" x14ac:dyDescent="0.2">
      <c r="Q103" s="13">
        <v>31340</v>
      </c>
      <c r="R103" s="35">
        <v>6.1</v>
      </c>
      <c r="S103" s="34">
        <v>30885.000000000004</v>
      </c>
      <c r="T103" s="35">
        <v>6.0250000000000004</v>
      </c>
      <c r="U103" s="44">
        <f t="shared" si="9"/>
        <v>454.99999999999636</v>
      </c>
      <c r="V103" s="45">
        <f t="shared" si="10"/>
        <v>7.4999999999999289E-2</v>
      </c>
    </row>
    <row r="104" spans="16:22" x14ac:dyDescent="0.2">
      <c r="Q104" s="13">
        <v>31340</v>
      </c>
      <c r="R104" s="35">
        <v>6.1</v>
      </c>
      <c r="S104" s="34">
        <v>30885.000000000004</v>
      </c>
      <c r="T104" s="35">
        <v>6.0250000000000004</v>
      </c>
      <c r="U104" s="44">
        <f t="shared" si="9"/>
        <v>454.99999999999636</v>
      </c>
      <c r="V104" s="45">
        <f t="shared" si="10"/>
        <v>7.4999999999999289E-2</v>
      </c>
    </row>
    <row r="105" spans="16:22" x14ac:dyDescent="0.2">
      <c r="Q105" s="13">
        <v>31340</v>
      </c>
      <c r="R105" s="35">
        <v>6.1</v>
      </c>
      <c r="S105" s="34">
        <v>30885.000000000004</v>
      </c>
      <c r="T105" s="35">
        <v>6.0250000000000004</v>
      </c>
      <c r="U105" s="44">
        <f t="shared" si="9"/>
        <v>454.99999999999636</v>
      </c>
      <c r="V105" s="45">
        <f t="shared" si="10"/>
        <v>7.4999999999999289E-2</v>
      </c>
    </row>
    <row r="106" spans="16:22" x14ac:dyDescent="0.2">
      <c r="Q106" s="73">
        <v>31340</v>
      </c>
      <c r="R106" s="35">
        <v>6.1</v>
      </c>
      <c r="S106" s="34">
        <v>30885.000000000004</v>
      </c>
      <c r="T106" s="35">
        <v>6.0250000000000004</v>
      </c>
      <c r="U106" s="44">
        <f t="shared" si="9"/>
        <v>454.99999999999636</v>
      </c>
      <c r="V106" s="45">
        <f t="shared" si="10"/>
        <v>7.4999999999999289E-2</v>
      </c>
    </row>
    <row r="107" spans="16:22" ht="17" thickBot="1" x14ac:dyDescent="0.25">
      <c r="Q107" s="74">
        <v>31340</v>
      </c>
      <c r="R107" s="75">
        <v>6.1</v>
      </c>
      <c r="S107" s="76">
        <v>30885.000000000004</v>
      </c>
      <c r="T107" s="75">
        <v>6.0250000000000004</v>
      </c>
      <c r="U107" s="77">
        <f t="shared" si="9"/>
        <v>454.99999999999636</v>
      </c>
      <c r="V107" s="78">
        <f t="shared" si="10"/>
        <v>7.4999999999999289E-2</v>
      </c>
    </row>
    <row r="108" spans="16:22" ht="17" thickTop="1" x14ac:dyDescent="0.2">
      <c r="P108" s="4"/>
      <c r="Q108" s="4"/>
      <c r="R108" s="4"/>
      <c r="S108" s="4"/>
      <c r="T108" s="4"/>
      <c r="U108" s="4"/>
      <c r="V108" s="4"/>
    </row>
    <row r="109" spans="16:22" x14ac:dyDescent="0.2">
      <c r="P109" s="4"/>
      <c r="Q109" s="4"/>
      <c r="R109" s="4"/>
      <c r="S109" s="4"/>
      <c r="T109" s="4"/>
      <c r="U109" s="4"/>
      <c r="V109" s="4"/>
    </row>
    <row r="110" spans="16:22" x14ac:dyDescent="0.2">
      <c r="P110" s="4"/>
      <c r="Q110" s="4"/>
      <c r="R110" s="4"/>
      <c r="S110" s="4"/>
      <c r="T110" s="4"/>
      <c r="U110" s="4"/>
      <c r="V110" s="4"/>
    </row>
    <row r="111" spans="16:22" x14ac:dyDescent="0.2">
      <c r="P111" s="4"/>
      <c r="Q111" s="4"/>
      <c r="R111" s="4"/>
      <c r="S111" s="4"/>
      <c r="T111" s="4"/>
      <c r="U111" s="4"/>
      <c r="V111" s="4"/>
    </row>
    <row r="112" spans="16:22" x14ac:dyDescent="0.2">
      <c r="P112" s="4"/>
      <c r="Q112" s="4"/>
      <c r="R112" s="4"/>
      <c r="S112" s="4"/>
      <c r="T112" s="4"/>
      <c r="U112" s="4"/>
      <c r="V112" s="4"/>
    </row>
    <row r="113" spans="16:22" x14ac:dyDescent="0.2">
      <c r="P113" s="4"/>
      <c r="Q113" s="4"/>
      <c r="R113" s="4"/>
      <c r="S113" s="4"/>
      <c r="T113" s="4"/>
      <c r="U113" s="4"/>
      <c r="V113" s="4"/>
    </row>
    <row r="114" spans="16:22" x14ac:dyDescent="0.2">
      <c r="P114" s="4"/>
      <c r="Q114" s="4"/>
      <c r="R114" s="4"/>
      <c r="S114" s="4"/>
      <c r="T114" s="4"/>
      <c r="U114" s="4"/>
      <c r="V114" s="4"/>
    </row>
    <row r="115" spans="16:22" x14ac:dyDescent="0.2">
      <c r="P115" s="4"/>
      <c r="Q115" s="4"/>
      <c r="R115" s="4"/>
      <c r="S115" s="4"/>
      <c r="T115" s="4"/>
      <c r="U115" s="4"/>
      <c r="V115" s="4"/>
    </row>
    <row r="116" spans="16:22" x14ac:dyDescent="0.2">
      <c r="P116" s="4"/>
      <c r="Q116" s="4"/>
      <c r="R116" s="4"/>
      <c r="S116" s="4"/>
      <c r="T116" s="4"/>
      <c r="U116" s="4"/>
      <c r="V116" s="4"/>
    </row>
    <row r="117" spans="16:22" x14ac:dyDescent="0.2">
      <c r="P117" s="4"/>
      <c r="Q117" s="4"/>
      <c r="R117" s="4"/>
      <c r="S117" s="4"/>
      <c r="T117" s="4"/>
      <c r="U117" s="4"/>
      <c r="V117" s="4"/>
    </row>
    <row r="118" spans="16:22" x14ac:dyDescent="0.2">
      <c r="P118" s="4"/>
      <c r="Q118" s="4"/>
      <c r="R118" s="4"/>
      <c r="S118" s="4"/>
      <c r="T118" s="4"/>
      <c r="U118" s="4"/>
      <c r="V118" s="4"/>
    </row>
    <row r="119" spans="16:22" x14ac:dyDescent="0.2">
      <c r="P119" s="4"/>
      <c r="Q119" s="4"/>
      <c r="R119" s="4"/>
      <c r="S119" s="4"/>
      <c r="T119" s="4"/>
      <c r="U119" s="4"/>
      <c r="V119" s="4"/>
    </row>
    <row r="120" spans="16:22" x14ac:dyDescent="0.2">
      <c r="P120" s="4"/>
      <c r="Q120" s="4"/>
      <c r="R120" s="4"/>
      <c r="S120" s="4"/>
      <c r="T120" s="4"/>
      <c r="U120" s="4"/>
      <c r="V120" s="4"/>
    </row>
    <row r="121" spans="16:22" x14ac:dyDescent="0.2">
      <c r="P121" s="4"/>
      <c r="Q121" s="4"/>
      <c r="R121" s="4"/>
      <c r="S121" s="4"/>
      <c r="T121" s="4"/>
      <c r="U121" s="4"/>
      <c r="V121" s="4"/>
    </row>
    <row r="122" spans="16:22" x14ac:dyDescent="0.2">
      <c r="P122" s="4"/>
      <c r="Q122" s="4"/>
      <c r="R122" s="4"/>
      <c r="S122" s="4"/>
      <c r="T122" s="4"/>
      <c r="U122" s="4"/>
      <c r="V122" s="4"/>
    </row>
    <row r="123" spans="16:22" x14ac:dyDescent="0.2">
      <c r="P123" s="4"/>
      <c r="Q123" s="4"/>
      <c r="R123" s="4"/>
      <c r="S123" s="4"/>
      <c r="T123" s="4"/>
      <c r="U123" s="4"/>
      <c r="V123" s="4"/>
    </row>
    <row r="124" spans="16:22" x14ac:dyDescent="0.2">
      <c r="P124" s="4"/>
      <c r="Q124" s="4"/>
      <c r="R124" s="4"/>
      <c r="S124" s="4"/>
      <c r="T124" s="4"/>
      <c r="U124" s="4"/>
      <c r="V124" s="4"/>
    </row>
    <row r="125" spans="16:22" x14ac:dyDescent="0.2">
      <c r="P125" s="4"/>
      <c r="Q125" s="4"/>
      <c r="R125" s="4"/>
      <c r="S125" s="4"/>
      <c r="T125" s="4"/>
      <c r="U125" s="4"/>
      <c r="V125" s="4"/>
    </row>
    <row r="126" spans="16:22" x14ac:dyDescent="0.2">
      <c r="P126" s="4"/>
      <c r="Q126" s="4"/>
      <c r="R126" s="4"/>
      <c r="S126" s="4"/>
      <c r="T126" s="4"/>
      <c r="U126" s="4"/>
      <c r="V126" s="4"/>
    </row>
    <row r="127" spans="16:22" x14ac:dyDescent="0.2">
      <c r="P127" s="4"/>
      <c r="Q127" s="4"/>
      <c r="R127" s="4"/>
      <c r="S127" s="4"/>
      <c r="T127" s="4"/>
      <c r="U127" s="4"/>
      <c r="V127" s="4"/>
    </row>
    <row r="128" spans="16:22" x14ac:dyDescent="0.2">
      <c r="P128" s="4"/>
      <c r="Q128" s="4"/>
      <c r="R128" s="4"/>
      <c r="S128" s="4"/>
      <c r="T128" s="4"/>
      <c r="U128" s="4"/>
      <c r="V128" s="4"/>
    </row>
    <row r="129" spans="16:22" x14ac:dyDescent="0.2">
      <c r="P129" s="4"/>
      <c r="Q129" s="4"/>
      <c r="R129" s="4"/>
      <c r="S129" s="4"/>
      <c r="T129" s="4"/>
      <c r="U129" s="4"/>
      <c r="V129" s="4"/>
    </row>
    <row r="130" spans="16:22" x14ac:dyDescent="0.2">
      <c r="P130" s="4"/>
      <c r="Q130" s="4"/>
      <c r="R130" s="4"/>
      <c r="S130" s="4"/>
      <c r="T130" s="4"/>
      <c r="U130" s="4"/>
      <c r="V130" s="4"/>
    </row>
    <row r="131" spans="16:22" x14ac:dyDescent="0.2">
      <c r="P131" s="4"/>
      <c r="Q131" s="4"/>
      <c r="R131" s="4"/>
      <c r="S131" s="4"/>
      <c r="T131" s="4"/>
      <c r="U131" s="4"/>
      <c r="V131" s="4"/>
    </row>
    <row r="132" spans="16:22" x14ac:dyDescent="0.2">
      <c r="P132" s="4"/>
      <c r="Q132" s="4"/>
      <c r="R132" s="4"/>
      <c r="S132" s="4"/>
      <c r="T132" s="4"/>
      <c r="U132" s="4"/>
      <c r="V132" s="4"/>
    </row>
    <row r="133" spans="16:22" x14ac:dyDescent="0.2">
      <c r="P133" s="4"/>
      <c r="Q133" s="4"/>
      <c r="R133" s="4"/>
      <c r="S133" s="4"/>
      <c r="T133" s="4"/>
      <c r="U133" s="4"/>
      <c r="V133" s="4"/>
    </row>
    <row r="134" spans="16:22" x14ac:dyDescent="0.2">
      <c r="P134" s="4"/>
      <c r="Q134" s="4"/>
      <c r="R134" s="4"/>
      <c r="S134" s="4"/>
      <c r="T134" s="4"/>
      <c r="U134" s="4"/>
      <c r="V134" s="4"/>
    </row>
    <row r="135" spans="16:22" x14ac:dyDescent="0.2">
      <c r="P135" s="4"/>
      <c r="Q135" s="4"/>
      <c r="R135" s="4"/>
      <c r="S135" s="4"/>
      <c r="T135" s="4"/>
      <c r="U135" s="4"/>
      <c r="V135" s="4"/>
    </row>
    <row r="136" spans="16:22" x14ac:dyDescent="0.2">
      <c r="P136" s="4"/>
      <c r="Q136" s="4"/>
      <c r="R136" s="4"/>
      <c r="S136" s="4"/>
      <c r="T136" s="4"/>
      <c r="U136" s="4"/>
      <c r="V136" s="4"/>
    </row>
    <row r="137" spans="16:22" x14ac:dyDescent="0.2">
      <c r="P137" s="4"/>
      <c r="Q137" s="4"/>
      <c r="R137" s="4"/>
      <c r="S137" s="4"/>
      <c r="T137" s="4"/>
      <c r="U137" s="4"/>
      <c r="V137" s="4"/>
    </row>
    <row r="138" spans="16:22" x14ac:dyDescent="0.2">
      <c r="P138" s="4"/>
      <c r="Q138" s="4"/>
      <c r="R138" s="4"/>
      <c r="S138" s="4"/>
      <c r="T138" s="4"/>
      <c r="U138" s="4"/>
      <c r="V138" s="4"/>
    </row>
    <row r="139" spans="16:22" x14ac:dyDescent="0.2">
      <c r="P139" s="4"/>
      <c r="Q139" s="4"/>
      <c r="R139" s="4"/>
      <c r="S139" s="4"/>
      <c r="T139" s="4"/>
      <c r="U139" s="4"/>
      <c r="V139" s="4"/>
    </row>
    <row r="140" spans="16:22" x14ac:dyDescent="0.2">
      <c r="P140" s="4"/>
      <c r="Q140" s="4"/>
      <c r="R140" s="4"/>
      <c r="S140" s="4"/>
      <c r="T140" s="4"/>
      <c r="U140" s="4"/>
      <c r="V140" s="4"/>
    </row>
    <row r="141" spans="16:22" x14ac:dyDescent="0.2">
      <c r="P141" s="4"/>
      <c r="Q141" s="4"/>
      <c r="R141" s="4"/>
      <c r="S141" s="4"/>
      <c r="T141" s="4"/>
      <c r="U141" s="4"/>
      <c r="V141" s="4"/>
    </row>
    <row r="142" spans="16:22" x14ac:dyDescent="0.2">
      <c r="P142" s="4"/>
      <c r="Q142" s="4"/>
      <c r="R142" s="4"/>
      <c r="S142" s="4"/>
      <c r="T142" s="4"/>
      <c r="U142" s="4"/>
      <c r="V142" s="4"/>
    </row>
    <row r="143" spans="16:22" x14ac:dyDescent="0.2">
      <c r="P143" s="4"/>
      <c r="Q143" s="4"/>
      <c r="R143" s="4"/>
      <c r="S143" s="4"/>
      <c r="T143" s="4"/>
      <c r="U143" s="4"/>
      <c r="V143" s="4"/>
    </row>
    <row r="144" spans="16:22" x14ac:dyDescent="0.2">
      <c r="P144" s="4"/>
      <c r="Q144" s="4"/>
      <c r="R144" s="4"/>
      <c r="S144" s="4"/>
      <c r="T144" s="4"/>
      <c r="U144" s="4"/>
      <c r="V144" s="4"/>
    </row>
    <row r="145" spans="16:22" x14ac:dyDescent="0.2">
      <c r="P145" s="4"/>
      <c r="Q145" s="4"/>
      <c r="R145" s="4"/>
      <c r="S145" s="4"/>
      <c r="T145" s="4"/>
      <c r="U145" s="4"/>
      <c r="V145" s="4"/>
    </row>
    <row r="146" spans="16:22" x14ac:dyDescent="0.2">
      <c r="P146" s="4"/>
      <c r="Q146" s="4"/>
      <c r="R146" s="4"/>
      <c r="S146" s="4"/>
      <c r="T146" s="4"/>
      <c r="U146" s="4"/>
      <c r="V146" s="4"/>
    </row>
    <row r="147" spans="16:22" x14ac:dyDescent="0.2">
      <c r="P147" s="4"/>
      <c r="Q147" s="4"/>
      <c r="R147" s="4"/>
      <c r="S147" s="4"/>
      <c r="T147" s="4"/>
      <c r="U147" s="4"/>
      <c r="V147" s="4"/>
    </row>
    <row r="148" spans="16:22" x14ac:dyDescent="0.2">
      <c r="P148" s="4"/>
      <c r="Q148" s="4"/>
      <c r="R148" s="4"/>
      <c r="S148" s="4"/>
      <c r="T148" s="4"/>
      <c r="U148" s="4"/>
      <c r="V148" s="4"/>
    </row>
    <row r="149" spans="16:22" x14ac:dyDescent="0.2">
      <c r="P149" s="4"/>
      <c r="Q149" s="4"/>
      <c r="R149" s="4"/>
      <c r="S149" s="4"/>
      <c r="T149" s="4"/>
      <c r="U149" s="4"/>
      <c r="V149" s="4"/>
    </row>
    <row r="150" spans="16:22" x14ac:dyDescent="0.2">
      <c r="P150" s="4"/>
      <c r="Q150" s="4"/>
      <c r="R150" s="4"/>
      <c r="S150" s="4"/>
      <c r="T150" s="4"/>
      <c r="U150" s="4"/>
      <c r="V150" s="4"/>
    </row>
    <row r="151" spans="16:22" x14ac:dyDescent="0.2">
      <c r="P151" s="4"/>
      <c r="Q151" s="4"/>
      <c r="R151" s="4"/>
      <c r="S151" s="4"/>
      <c r="T151" s="4"/>
      <c r="U151" s="4"/>
      <c r="V151" s="4"/>
    </row>
    <row r="152" spans="16:22" x14ac:dyDescent="0.2">
      <c r="P152" s="4"/>
      <c r="Q152" s="4"/>
      <c r="R152" s="4"/>
      <c r="S152" s="4"/>
      <c r="T152" s="4"/>
      <c r="U152" s="4"/>
      <c r="V152" s="4"/>
    </row>
    <row r="153" spans="16:22" x14ac:dyDescent="0.2">
      <c r="P153" s="4"/>
      <c r="Q153" s="4"/>
      <c r="R153" s="4"/>
      <c r="S153" s="4"/>
      <c r="T153" s="4"/>
      <c r="U153" s="4"/>
      <c r="V153" s="4"/>
    </row>
    <row r="154" spans="16:22" x14ac:dyDescent="0.2">
      <c r="P154" s="4"/>
      <c r="Q154" s="4"/>
      <c r="R154" s="4"/>
      <c r="S154" s="4"/>
      <c r="T154" s="4"/>
      <c r="U154" s="4"/>
      <c r="V154" s="4"/>
    </row>
    <row r="155" spans="16:22" x14ac:dyDescent="0.2">
      <c r="P155" s="4"/>
      <c r="Q155" s="4"/>
      <c r="R155" s="4"/>
      <c r="S155" s="4"/>
      <c r="T155" s="4"/>
      <c r="U155" s="4"/>
      <c r="V155" s="4"/>
    </row>
    <row r="156" spans="16:22" x14ac:dyDescent="0.2">
      <c r="P156" s="4"/>
      <c r="Q156" s="4"/>
      <c r="R156" s="4"/>
      <c r="S156" s="4"/>
      <c r="T156" s="4"/>
      <c r="U156" s="4"/>
      <c r="V156" s="4"/>
    </row>
    <row r="157" spans="16:22" x14ac:dyDescent="0.2">
      <c r="P157" s="4"/>
      <c r="Q157" s="4"/>
      <c r="R157" s="4"/>
      <c r="S157" s="4"/>
      <c r="T157" s="4"/>
      <c r="U157" s="4"/>
      <c r="V157" s="4"/>
    </row>
    <row r="158" spans="16:22" x14ac:dyDescent="0.2">
      <c r="P158" s="4"/>
      <c r="Q158" s="4"/>
      <c r="R158" s="4"/>
      <c r="S158" s="4"/>
      <c r="T158" s="4"/>
      <c r="U158" s="4"/>
      <c r="V158" s="4"/>
    </row>
    <row r="159" spans="16:22" x14ac:dyDescent="0.2">
      <c r="P159" s="4"/>
      <c r="Q159" s="4"/>
      <c r="R159" s="4"/>
      <c r="S159" s="4"/>
      <c r="T159" s="4"/>
      <c r="U159" s="4"/>
      <c r="V159" s="4"/>
    </row>
    <row r="160" spans="16:22" x14ac:dyDescent="0.2">
      <c r="P160" s="4"/>
      <c r="Q160" s="4"/>
      <c r="R160" s="4"/>
      <c r="S160" s="4"/>
      <c r="T160" s="4"/>
      <c r="U160" s="4"/>
      <c r="V160" s="4"/>
    </row>
    <row r="161" spans="16:22" x14ac:dyDescent="0.2">
      <c r="P161" s="4"/>
      <c r="Q161" s="4"/>
      <c r="R161" s="4"/>
      <c r="S161" s="4"/>
      <c r="T161" s="4"/>
      <c r="U161" s="4"/>
      <c r="V161" s="4"/>
    </row>
    <row r="162" spans="16:22" x14ac:dyDescent="0.2">
      <c r="P162" s="4"/>
      <c r="Q162" s="4"/>
      <c r="R162" s="4"/>
      <c r="S162" s="4"/>
      <c r="T162" s="4"/>
      <c r="U162" s="4"/>
      <c r="V162" s="4"/>
    </row>
    <row r="163" spans="16:22" x14ac:dyDescent="0.2">
      <c r="P163" s="4"/>
      <c r="Q163" s="4"/>
      <c r="R163" s="4"/>
      <c r="S163" s="4"/>
      <c r="T163" s="4"/>
      <c r="U163" s="4"/>
      <c r="V163" s="4"/>
    </row>
    <row r="164" spans="16:22" x14ac:dyDescent="0.2">
      <c r="P164" s="4"/>
      <c r="Q164" s="4"/>
      <c r="R164" s="4"/>
      <c r="S164" s="4"/>
      <c r="T164" s="4"/>
      <c r="U164" s="4"/>
      <c r="V164" s="4"/>
    </row>
    <row r="165" spans="16:22" x14ac:dyDescent="0.2">
      <c r="P165" s="4"/>
      <c r="Q165" s="4"/>
      <c r="R165" s="4"/>
      <c r="S165" s="4"/>
      <c r="T165" s="4"/>
      <c r="U165" s="4"/>
      <c r="V165" s="4"/>
    </row>
    <row r="166" spans="16:22" x14ac:dyDescent="0.2">
      <c r="P166" s="4"/>
      <c r="Q166" s="4"/>
      <c r="R166" s="4"/>
      <c r="S166" s="4"/>
      <c r="T166" s="4"/>
      <c r="U166" s="4"/>
      <c r="V166" s="4"/>
    </row>
    <row r="167" spans="16:22" x14ac:dyDescent="0.2">
      <c r="P167" s="4"/>
      <c r="Q167" s="4"/>
      <c r="R167" s="4"/>
      <c r="S167" s="4"/>
      <c r="T167" s="4"/>
      <c r="U167" s="4"/>
      <c r="V167" s="4"/>
    </row>
    <row r="168" spans="16:22" x14ac:dyDescent="0.2">
      <c r="P168" s="4"/>
      <c r="Q168" s="4"/>
      <c r="R168" s="4"/>
      <c r="S168" s="4"/>
      <c r="T168" s="4"/>
      <c r="U168" s="4"/>
      <c r="V168" s="4"/>
    </row>
    <row r="169" spans="16:22" x14ac:dyDescent="0.2">
      <c r="P169" s="4"/>
      <c r="Q169" s="4"/>
      <c r="R169" s="4"/>
      <c r="S169" s="4"/>
      <c r="T169" s="4"/>
      <c r="U169" s="4"/>
      <c r="V169" s="4"/>
    </row>
    <row r="170" spans="16:22" x14ac:dyDescent="0.2">
      <c r="P170" s="4"/>
      <c r="Q170" s="4"/>
      <c r="R170" s="4"/>
      <c r="S170" s="4"/>
      <c r="T170" s="4"/>
      <c r="U170" s="4"/>
      <c r="V170" s="4"/>
    </row>
    <row r="171" spans="16:22" x14ac:dyDescent="0.2">
      <c r="P171" s="4"/>
      <c r="Q171" s="4"/>
      <c r="R171" s="4"/>
      <c r="S171" s="4"/>
      <c r="T171" s="4"/>
      <c r="U171" s="4"/>
      <c r="V171" s="4"/>
    </row>
    <row r="172" spans="16:22" x14ac:dyDescent="0.2">
      <c r="P172" s="4"/>
      <c r="Q172" s="4"/>
      <c r="R172" s="4"/>
      <c r="S172" s="4"/>
      <c r="T172" s="4"/>
      <c r="U172" s="4"/>
      <c r="V172" s="4"/>
    </row>
    <row r="173" spans="16:22" x14ac:dyDescent="0.2">
      <c r="P173" s="4"/>
      <c r="Q173" s="4"/>
      <c r="R173" s="4"/>
      <c r="S173" s="4"/>
      <c r="T173" s="4"/>
      <c r="U173" s="4"/>
      <c r="V173" s="4"/>
    </row>
    <row r="174" spans="16:22" x14ac:dyDescent="0.2">
      <c r="P174" s="4"/>
      <c r="Q174" s="4"/>
      <c r="R174" s="4"/>
      <c r="S174" s="4"/>
      <c r="T174" s="4"/>
      <c r="U174" s="4"/>
      <c r="V174" s="4"/>
    </row>
    <row r="175" spans="16:22" x14ac:dyDescent="0.2">
      <c r="P175" s="4"/>
      <c r="Q175" s="4"/>
      <c r="R175" s="4"/>
      <c r="S175" s="4"/>
      <c r="T175" s="4"/>
      <c r="U175" s="4"/>
      <c r="V175" s="4"/>
    </row>
    <row r="176" spans="16:22" x14ac:dyDescent="0.2">
      <c r="P176" s="4"/>
      <c r="Q176" s="4"/>
      <c r="R176" s="4"/>
      <c r="S176" s="4"/>
      <c r="T176" s="4"/>
      <c r="U176" s="4"/>
      <c r="V176" s="4"/>
    </row>
    <row r="177" spans="16:22" x14ac:dyDescent="0.2">
      <c r="P177" s="13"/>
      <c r="Q177" s="4"/>
      <c r="R177" s="4"/>
      <c r="S177" s="4"/>
      <c r="T177" s="4"/>
      <c r="U177" s="4"/>
      <c r="V177" s="4"/>
    </row>
    <row r="178" spans="16:22" x14ac:dyDescent="0.2">
      <c r="P178" s="13"/>
      <c r="Q178" s="4"/>
      <c r="R178" s="4"/>
      <c r="S178" s="4"/>
      <c r="T178" s="4"/>
      <c r="U178" s="4"/>
      <c r="V178" s="4"/>
    </row>
    <row r="179" spans="16:22" x14ac:dyDescent="0.2">
      <c r="P179" s="13"/>
      <c r="Q179" s="4"/>
      <c r="R179" s="4"/>
      <c r="S179" s="4"/>
      <c r="T179" s="4"/>
      <c r="U179" s="4"/>
      <c r="V179" s="4"/>
    </row>
    <row r="180" spans="16:22" x14ac:dyDescent="0.2">
      <c r="P180" s="13"/>
      <c r="Q180" s="4"/>
      <c r="R180" s="4"/>
      <c r="S180" s="4"/>
      <c r="T180" s="4"/>
      <c r="U180" s="4"/>
      <c r="V180" s="4"/>
    </row>
    <row r="181" spans="16:22" x14ac:dyDescent="0.2">
      <c r="P181" s="13"/>
      <c r="Q181" s="4"/>
      <c r="R181" s="4"/>
      <c r="S181" s="4"/>
      <c r="T181" s="4"/>
      <c r="U181" s="4"/>
      <c r="V181" s="4"/>
    </row>
    <row r="182" spans="16:22" x14ac:dyDescent="0.2">
      <c r="P182" s="13"/>
      <c r="Q182" s="4"/>
      <c r="R182" s="4"/>
      <c r="S182" s="4"/>
      <c r="T182" s="4"/>
      <c r="U182" s="4"/>
      <c r="V182" s="4"/>
    </row>
    <row r="183" spans="16:22" x14ac:dyDescent="0.2">
      <c r="P183" s="13"/>
      <c r="Q183" s="4"/>
      <c r="R183" s="4"/>
      <c r="S183" s="4"/>
      <c r="T183" s="4"/>
      <c r="U183" s="4"/>
      <c r="V183" s="4"/>
    </row>
    <row r="184" spans="16:22" x14ac:dyDescent="0.2">
      <c r="P184" s="13"/>
      <c r="Q184" s="4"/>
      <c r="R184" s="4"/>
      <c r="S184" s="4"/>
      <c r="T184" s="4"/>
      <c r="U184" s="4"/>
      <c r="V184" s="4"/>
    </row>
    <row r="185" spans="16:22" x14ac:dyDescent="0.2">
      <c r="P185" s="13"/>
      <c r="Q185" s="4"/>
      <c r="R185" s="4"/>
      <c r="S185" s="4"/>
      <c r="T185" s="4"/>
      <c r="U185" s="4"/>
      <c r="V185" s="4"/>
    </row>
    <row r="186" spans="16:22" x14ac:dyDescent="0.2">
      <c r="P186" s="13"/>
      <c r="Q186" s="4"/>
      <c r="R186" s="4"/>
      <c r="S186" s="4"/>
      <c r="T186" s="4"/>
      <c r="U186" s="4"/>
      <c r="V186" s="4"/>
    </row>
    <row r="187" spans="16:22" x14ac:dyDescent="0.2">
      <c r="P187" s="13"/>
      <c r="Q187" s="4"/>
      <c r="R187" s="4"/>
      <c r="S187" s="4"/>
      <c r="T187" s="4"/>
      <c r="U187" s="4"/>
      <c r="V187" s="4"/>
    </row>
    <row r="188" spans="16:22" x14ac:dyDescent="0.2">
      <c r="P188" s="13"/>
      <c r="Q188" s="4"/>
      <c r="R188" s="4"/>
      <c r="S188" s="4"/>
      <c r="T188" s="4"/>
      <c r="U188" s="4"/>
      <c r="V188" s="4"/>
    </row>
    <row r="189" spans="16:22" x14ac:dyDescent="0.2">
      <c r="P189" s="13"/>
      <c r="Q189" s="4"/>
      <c r="R189" s="4"/>
      <c r="S189" s="4"/>
      <c r="T189" s="4"/>
      <c r="U189" s="4"/>
      <c r="V189" s="4"/>
    </row>
    <row r="190" spans="16:22" x14ac:dyDescent="0.2">
      <c r="P190" s="13"/>
      <c r="Q190" s="4"/>
      <c r="R190" s="4"/>
      <c r="S190" s="4"/>
      <c r="T190" s="4"/>
      <c r="U190" s="4"/>
      <c r="V190" s="4"/>
    </row>
    <row r="191" spans="16:22" x14ac:dyDescent="0.2">
      <c r="P191" s="13"/>
      <c r="Q191" s="4"/>
      <c r="R191" s="4"/>
      <c r="S191" s="4"/>
      <c r="T191" s="4"/>
      <c r="U191" s="4"/>
      <c r="V191" s="4"/>
    </row>
    <row r="192" spans="16:22" x14ac:dyDescent="0.2">
      <c r="P192" s="13"/>
      <c r="Q192" s="4"/>
      <c r="R192" s="4"/>
      <c r="S192" s="4"/>
      <c r="T192" s="4"/>
      <c r="U192" s="4"/>
      <c r="V192" s="4"/>
    </row>
    <row r="193" spans="2:22" x14ac:dyDescent="0.2">
      <c r="P193" s="13"/>
      <c r="Q193" s="4"/>
      <c r="R193" s="4"/>
      <c r="S193" s="4"/>
      <c r="T193" s="4"/>
      <c r="U193" s="4"/>
      <c r="V193" s="4"/>
    </row>
    <row r="194" spans="2:22" x14ac:dyDescent="0.2">
      <c r="P194" s="13"/>
      <c r="Q194" s="4"/>
      <c r="R194" s="4"/>
      <c r="S194" s="4"/>
      <c r="T194" s="4"/>
      <c r="U194" s="4"/>
      <c r="V194" s="4"/>
    </row>
    <row r="195" spans="2:22" x14ac:dyDescent="0.2">
      <c r="P195" s="13"/>
      <c r="Q195" s="4"/>
      <c r="R195" s="4"/>
      <c r="S195" s="4"/>
      <c r="T195" s="4"/>
      <c r="U195" s="4"/>
      <c r="V195" s="4"/>
    </row>
    <row r="196" spans="2:22" x14ac:dyDescent="0.2">
      <c r="P196" s="13"/>
      <c r="Q196" s="4"/>
      <c r="R196" s="4"/>
      <c r="S196" s="4"/>
      <c r="T196" s="4"/>
      <c r="U196" s="4"/>
      <c r="V196" s="4"/>
    </row>
    <row r="197" spans="2:22" x14ac:dyDescent="0.2">
      <c r="B197" s="125" t="s">
        <v>62</v>
      </c>
      <c r="C197" s="125"/>
      <c r="D197" s="125"/>
      <c r="E197" s="125"/>
      <c r="F197" s="125"/>
      <c r="P197" s="13"/>
      <c r="Q197" s="4"/>
      <c r="R197" s="4"/>
      <c r="S197" s="4"/>
      <c r="T197" s="4"/>
      <c r="U197" s="4"/>
      <c r="V197" s="4"/>
    </row>
    <row r="198" spans="2:22" x14ac:dyDescent="0.2">
      <c r="B198" s="125"/>
      <c r="C198" s="125"/>
      <c r="D198" s="125"/>
      <c r="E198" s="125"/>
      <c r="F198" s="125"/>
      <c r="P198" s="13"/>
      <c r="Q198" s="4"/>
      <c r="R198" s="4"/>
      <c r="S198" s="4"/>
      <c r="T198" s="4"/>
      <c r="U198" s="4"/>
      <c r="V198" s="4"/>
    </row>
    <row r="199" spans="2:22" ht="17" thickBot="1" x14ac:dyDescent="0.25">
      <c r="P199" s="13"/>
      <c r="Q199" s="4"/>
      <c r="R199" s="4"/>
      <c r="S199" s="4"/>
      <c r="T199" s="4"/>
      <c r="U199" s="4"/>
      <c r="V199" s="4"/>
    </row>
    <row r="200" spans="2:22" ht="17" thickBot="1" x14ac:dyDescent="0.25">
      <c r="B200" s="25" t="s">
        <v>3</v>
      </c>
      <c r="C200" s="26" t="s">
        <v>4</v>
      </c>
      <c r="D200" s="26" t="s">
        <v>9</v>
      </c>
      <c r="E200" s="26" t="s">
        <v>8</v>
      </c>
      <c r="F200" s="27" t="s">
        <v>7</v>
      </c>
      <c r="P200" s="13"/>
      <c r="Q200" s="4"/>
      <c r="R200" s="4"/>
      <c r="S200" s="4"/>
      <c r="T200" s="4"/>
      <c r="U200" s="4"/>
      <c r="V200" s="4"/>
    </row>
    <row r="201" spans="2:22" x14ac:dyDescent="0.2">
      <c r="B201" s="23" t="s">
        <v>16</v>
      </c>
      <c r="C201" s="13" t="s">
        <v>6</v>
      </c>
      <c r="D201" s="13">
        <v>30000</v>
      </c>
      <c r="E201" s="13"/>
      <c r="F201" s="20">
        <f>D201</f>
        <v>30000</v>
      </c>
      <c r="P201" s="13"/>
      <c r="Q201" s="4"/>
      <c r="R201" s="4"/>
      <c r="S201" s="4"/>
      <c r="T201" s="4"/>
      <c r="U201" s="4"/>
      <c r="V201" s="4"/>
    </row>
    <row r="202" spans="2:22" x14ac:dyDescent="0.2">
      <c r="B202" s="23" t="s">
        <v>17</v>
      </c>
      <c r="C202" s="13" t="s">
        <v>6</v>
      </c>
      <c r="D202" s="13">
        <v>29500</v>
      </c>
      <c r="E202" s="13"/>
      <c r="F202" s="20">
        <f>D202</f>
        <v>29500</v>
      </c>
      <c r="P202" s="13"/>
      <c r="Q202" s="4"/>
      <c r="R202" s="4"/>
      <c r="S202" s="4"/>
      <c r="T202" s="4"/>
      <c r="U202" s="4"/>
      <c r="V202" s="4"/>
    </row>
    <row r="203" spans="2:22" x14ac:dyDescent="0.2">
      <c r="B203" s="23" t="s">
        <v>12</v>
      </c>
      <c r="C203" s="13" t="s">
        <v>5</v>
      </c>
      <c r="D203" s="13">
        <v>200</v>
      </c>
      <c r="E203" s="13">
        <v>2.5</v>
      </c>
      <c r="F203" s="20">
        <f ca="1">_xlfn.GAMMA.INV(RAND(), D203,E203)</f>
        <v>474.39207717709758</v>
      </c>
      <c r="P203" s="13"/>
      <c r="Q203" s="4"/>
      <c r="R203" s="4"/>
      <c r="S203" s="4"/>
      <c r="T203" s="4"/>
      <c r="U203" s="4"/>
      <c r="V203" s="4"/>
    </row>
    <row r="204" spans="2:22" x14ac:dyDescent="0.2">
      <c r="B204" s="23" t="s">
        <v>13</v>
      </c>
      <c r="C204" s="13" t="s">
        <v>5</v>
      </c>
      <c r="D204" s="13">
        <v>1000</v>
      </c>
      <c r="E204" s="13">
        <v>2</v>
      </c>
      <c r="F204" s="20">
        <f ca="1">_xlfn.GAMMA.INV(RAND(), D204,E204)</f>
        <v>1987.6316314256062</v>
      </c>
      <c r="P204" s="13"/>
      <c r="Q204" s="4"/>
      <c r="R204" s="4"/>
      <c r="S204" s="4"/>
      <c r="T204" s="4"/>
      <c r="U204" s="4"/>
      <c r="V204" s="4"/>
    </row>
    <row r="205" spans="2:22" x14ac:dyDescent="0.2">
      <c r="B205" s="23" t="s">
        <v>11</v>
      </c>
      <c r="C205" s="13" t="s">
        <v>25</v>
      </c>
      <c r="D205" s="13">
        <v>7.5</v>
      </c>
      <c r="E205" s="13"/>
      <c r="F205" s="20">
        <f>D205</f>
        <v>7.5</v>
      </c>
      <c r="P205" s="13"/>
      <c r="Q205" s="4"/>
      <c r="R205" s="4"/>
      <c r="S205" s="4"/>
      <c r="T205" s="4"/>
      <c r="U205" s="4"/>
      <c r="V205" s="4"/>
    </row>
    <row r="206" spans="2:22" x14ac:dyDescent="0.2">
      <c r="B206" s="23" t="s">
        <v>10</v>
      </c>
      <c r="C206" s="13" t="s">
        <v>25</v>
      </c>
      <c r="D206" s="13">
        <v>5</v>
      </c>
      <c r="E206" s="13"/>
      <c r="F206" s="20">
        <f>D206</f>
        <v>5</v>
      </c>
      <c r="P206" s="13"/>
      <c r="Q206" s="4"/>
      <c r="R206" s="4"/>
      <c r="S206" s="4"/>
      <c r="T206" s="4"/>
      <c r="U206" s="4"/>
      <c r="V206" s="4"/>
    </row>
    <row r="207" spans="2:22" x14ac:dyDescent="0.2">
      <c r="B207" s="23" t="s">
        <v>18</v>
      </c>
      <c r="C207" s="13" t="s">
        <v>0</v>
      </c>
      <c r="D207" s="13">
        <v>4.5</v>
      </c>
      <c r="E207" s="13">
        <v>5</v>
      </c>
      <c r="F207" s="20">
        <f ca="1">_xlfn.BETA.INV(RAND(), D207,E207)</f>
        <v>0.35417590087802553</v>
      </c>
      <c r="P207" s="13"/>
      <c r="Q207" s="4"/>
      <c r="R207" s="4"/>
      <c r="S207" s="4"/>
      <c r="T207" s="4"/>
      <c r="U207" s="4"/>
      <c r="V207" s="4"/>
    </row>
    <row r="208" spans="2:22" ht="17" thickBot="1" x14ac:dyDescent="0.25">
      <c r="B208" s="24" t="s">
        <v>19</v>
      </c>
      <c r="C208" s="21" t="s">
        <v>0</v>
      </c>
      <c r="D208" s="21">
        <v>3.5</v>
      </c>
      <c r="E208" s="21">
        <v>5</v>
      </c>
      <c r="F208" s="22">
        <f ca="1">_xlfn.BETA.INV(RAND(), D208,E208)</f>
        <v>0.41335600633649172</v>
      </c>
      <c r="P208" s="13"/>
      <c r="Q208" s="4"/>
      <c r="R208" s="4"/>
      <c r="S208" s="4"/>
      <c r="T208" s="4"/>
      <c r="U208" s="4"/>
      <c r="V208" s="4"/>
    </row>
    <row r="209" spans="16:22" x14ac:dyDescent="0.2">
      <c r="P209" s="13"/>
      <c r="Q209" s="4"/>
      <c r="R209" s="4"/>
      <c r="S209" s="4"/>
      <c r="T209" s="4"/>
      <c r="U209" s="4"/>
      <c r="V209" s="4"/>
    </row>
    <row r="210" spans="16:22" x14ac:dyDescent="0.2">
      <c r="P210" s="13"/>
      <c r="Q210" s="4"/>
      <c r="R210" s="4"/>
      <c r="S210" s="4"/>
      <c r="T210" s="4"/>
      <c r="U210" s="4"/>
      <c r="V210" s="4"/>
    </row>
    <row r="211" spans="16:22" x14ac:dyDescent="0.2">
      <c r="P211" s="13"/>
      <c r="Q211" s="4"/>
      <c r="R211" s="4"/>
      <c r="S211" s="4"/>
      <c r="T211" s="4"/>
      <c r="U211" s="4"/>
      <c r="V211" s="4"/>
    </row>
    <row r="212" spans="16:22" x14ac:dyDescent="0.2">
      <c r="P212" s="13"/>
      <c r="Q212" s="4"/>
      <c r="R212" s="4"/>
      <c r="S212" s="4"/>
      <c r="T212" s="4"/>
      <c r="U212" s="4"/>
      <c r="V212" s="4"/>
    </row>
    <row r="213" spans="16:22" x14ac:dyDescent="0.2">
      <c r="P213" s="13"/>
      <c r="Q213" s="4"/>
      <c r="R213" s="4"/>
      <c r="S213" s="4"/>
      <c r="T213" s="4"/>
      <c r="U213" s="4"/>
      <c r="V213" s="4"/>
    </row>
    <row r="214" spans="16:22" x14ac:dyDescent="0.2">
      <c r="P214" s="13"/>
      <c r="Q214" s="4"/>
      <c r="R214" s="4"/>
      <c r="S214" s="4"/>
      <c r="T214" s="4"/>
      <c r="U214" s="4"/>
      <c r="V214" s="4"/>
    </row>
    <row r="215" spans="16:22" x14ac:dyDescent="0.2">
      <c r="P215" s="13"/>
      <c r="Q215" s="4"/>
      <c r="R215" s="4"/>
      <c r="S215" s="4"/>
      <c r="T215" s="4"/>
      <c r="U215" s="4"/>
      <c r="V215" s="4"/>
    </row>
    <row r="216" spans="16:22" x14ac:dyDescent="0.2">
      <c r="P216" s="13"/>
      <c r="Q216" s="4"/>
      <c r="R216" s="4"/>
      <c r="S216" s="4"/>
      <c r="T216" s="4"/>
      <c r="U216" s="4"/>
      <c r="V216" s="4"/>
    </row>
    <row r="217" spans="16:22" x14ac:dyDescent="0.2">
      <c r="P217" s="13"/>
      <c r="Q217" s="4"/>
      <c r="R217" s="4"/>
      <c r="S217" s="4"/>
      <c r="T217" s="4"/>
      <c r="U217" s="4"/>
      <c r="V217" s="4"/>
    </row>
    <row r="218" spans="16:22" x14ac:dyDescent="0.2">
      <c r="P218" s="13"/>
      <c r="Q218" s="4"/>
      <c r="R218" s="4"/>
      <c r="S218" s="4"/>
      <c r="T218" s="4"/>
      <c r="U218" s="4"/>
      <c r="V218" s="4"/>
    </row>
    <row r="219" spans="16:22" x14ac:dyDescent="0.2">
      <c r="P219" s="13"/>
      <c r="Q219" s="4"/>
      <c r="R219" s="4"/>
      <c r="S219" s="4"/>
      <c r="T219" s="4"/>
      <c r="U219" s="4"/>
      <c r="V219" s="4"/>
    </row>
    <row r="220" spans="16:22" x14ac:dyDescent="0.2">
      <c r="P220" s="13"/>
      <c r="Q220" s="4"/>
      <c r="R220" s="4"/>
      <c r="S220" s="4"/>
      <c r="T220" s="4"/>
      <c r="U220" s="4"/>
      <c r="V220" s="4"/>
    </row>
    <row r="221" spans="16:22" x14ac:dyDescent="0.2">
      <c r="P221" s="13"/>
      <c r="Q221" s="4"/>
      <c r="R221" s="4"/>
      <c r="S221" s="4"/>
      <c r="T221" s="4"/>
      <c r="U221" s="4"/>
      <c r="V221" s="4"/>
    </row>
    <row r="222" spans="16:22" x14ac:dyDescent="0.2">
      <c r="P222" s="13"/>
      <c r="Q222" s="4"/>
      <c r="R222" s="4"/>
      <c r="S222" s="4"/>
      <c r="T222" s="4"/>
      <c r="U222" s="4"/>
      <c r="V222" s="4"/>
    </row>
    <row r="223" spans="16:22" x14ac:dyDescent="0.2">
      <c r="P223" s="13"/>
      <c r="Q223" s="4"/>
      <c r="R223" s="4"/>
      <c r="S223" s="4"/>
      <c r="T223" s="4"/>
      <c r="U223" s="4"/>
      <c r="V223" s="4"/>
    </row>
    <row r="224" spans="16:22" x14ac:dyDescent="0.2">
      <c r="P224" s="13"/>
      <c r="Q224" s="4"/>
      <c r="R224" s="4"/>
      <c r="S224" s="4"/>
      <c r="T224" s="4"/>
      <c r="U224" s="4"/>
      <c r="V224" s="4"/>
    </row>
    <row r="225" spans="16:22" x14ac:dyDescent="0.2">
      <c r="P225" s="13"/>
      <c r="Q225" s="4"/>
      <c r="R225" s="4"/>
      <c r="S225" s="4"/>
      <c r="T225" s="4"/>
      <c r="U225" s="4"/>
      <c r="V225" s="4"/>
    </row>
    <row r="226" spans="16:22" x14ac:dyDescent="0.2">
      <c r="P226" s="13"/>
      <c r="Q226" s="4"/>
      <c r="R226" s="4"/>
      <c r="S226" s="4"/>
      <c r="T226" s="4"/>
      <c r="U226" s="4"/>
      <c r="V226" s="4"/>
    </row>
    <row r="227" spans="16:22" x14ac:dyDescent="0.2">
      <c r="P227" s="13"/>
      <c r="Q227" s="4"/>
      <c r="R227" s="4"/>
      <c r="S227" s="4"/>
      <c r="T227" s="4"/>
      <c r="U227" s="4"/>
      <c r="V227" s="4"/>
    </row>
    <row r="228" spans="16:22" x14ac:dyDescent="0.2">
      <c r="P228" s="13"/>
      <c r="Q228" s="4"/>
      <c r="R228" s="4"/>
      <c r="S228" s="4"/>
      <c r="T228" s="4"/>
      <c r="U228" s="4"/>
      <c r="V228" s="4"/>
    </row>
    <row r="229" spans="16:22" x14ac:dyDescent="0.2">
      <c r="P229" s="13"/>
      <c r="Q229" s="4"/>
      <c r="R229" s="4"/>
      <c r="S229" s="4"/>
      <c r="T229" s="4"/>
      <c r="U229" s="4"/>
      <c r="V229" s="4"/>
    </row>
    <row r="230" spans="16:22" x14ac:dyDescent="0.2">
      <c r="P230" s="13"/>
      <c r="Q230" s="4"/>
      <c r="R230" s="4"/>
      <c r="S230" s="4"/>
      <c r="T230" s="4"/>
      <c r="U230" s="4"/>
      <c r="V230" s="4"/>
    </row>
    <row r="231" spans="16:22" x14ac:dyDescent="0.2">
      <c r="P231" s="13"/>
      <c r="Q231" s="4"/>
      <c r="R231" s="4"/>
      <c r="S231" s="4"/>
      <c r="T231" s="4"/>
      <c r="U231" s="4"/>
      <c r="V231" s="4"/>
    </row>
    <row r="232" spans="16:22" x14ac:dyDescent="0.2">
      <c r="P232" s="13"/>
      <c r="Q232" s="4"/>
      <c r="R232" s="4"/>
      <c r="S232" s="4"/>
      <c r="T232" s="4"/>
      <c r="U232" s="4"/>
      <c r="V232" s="4"/>
    </row>
    <row r="233" spans="16:22" x14ac:dyDescent="0.2">
      <c r="P233" s="13"/>
      <c r="Q233" s="4"/>
      <c r="R233" s="4"/>
      <c r="S233" s="4"/>
      <c r="T233" s="4"/>
      <c r="U233" s="4"/>
      <c r="V233" s="4"/>
    </row>
    <row r="234" spans="16:22" x14ac:dyDescent="0.2">
      <c r="P234" s="13"/>
      <c r="Q234" s="4"/>
      <c r="R234" s="4"/>
      <c r="S234" s="4"/>
      <c r="T234" s="4"/>
      <c r="U234" s="4"/>
      <c r="V234" s="4"/>
    </row>
    <row r="235" spans="16:22" x14ac:dyDescent="0.2">
      <c r="P235" s="13"/>
      <c r="Q235" s="4"/>
      <c r="R235" s="4"/>
      <c r="S235" s="4"/>
      <c r="T235" s="4"/>
      <c r="U235" s="4"/>
      <c r="V235" s="4"/>
    </row>
    <row r="236" spans="16:22" x14ac:dyDescent="0.2">
      <c r="P236" s="13"/>
      <c r="Q236" s="4"/>
      <c r="R236" s="4"/>
      <c r="S236" s="4"/>
      <c r="T236" s="4"/>
      <c r="U236" s="4"/>
      <c r="V236" s="4"/>
    </row>
    <row r="237" spans="16:22" x14ac:dyDescent="0.2">
      <c r="P237" s="13"/>
      <c r="Q237" s="4"/>
      <c r="R237" s="4"/>
      <c r="S237" s="4"/>
      <c r="T237" s="4"/>
      <c r="U237" s="4"/>
      <c r="V237" s="4"/>
    </row>
    <row r="238" spans="16:22" x14ac:dyDescent="0.2">
      <c r="P238" s="13"/>
      <c r="Q238" s="4"/>
      <c r="R238" s="4"/>
      <c r="S238" s="4"/>
      <c r="T238" s="4"/>
      <c r="U238" s="4"/>
      <c r="V238" s="4"/>
    </row>
    <row r="239" spans="16:22" x14ac:dyDescent="0.2">
      <c r="P239" s="13"/>
      <c r="Q239" s="4"/>
      <c r="R239" s="4"/>
      <c r="S239" s="4"/>
      <c r="T239" s="4"/>
      <c r="U239" s="4"/>
      <c r="V239" s="4"/>
    </row>
    <row r="240" spans="16:22" x14ac:dyDescent="0.2">
      <c r="P240" s="13"/>
      <c r="Q240" s="4"/>
      <c r="R240" s="4"/>
      <c r="S240" s="4"/>
      <c r="T240" s="4"/>
      <c r="U240" s="4"/>
      <c r="V240" s="4"/>
    </row>
    <row r="241" spans="2:22" x14ac:dyDescent="0.2">
      <c r="P241" s="13"/>
      <c r="Q241" s="4"/>
      <c r="R241" s="4"/>
      <c r="S241" s="4"/>
      <c r="T241" s="4"/>
      <c r="U241" s="4"/>
      <c r="V241" s="4"/>
    </row>
    <row r="242" spans="2:22" x14ac:dyDescent="0.2">
      <c r="P242" s="13"/>
      <c r="Q242" s="4"/>
      <c r="R242" s="4"/>
      <c r="S242" s="4"/>
      <c r="T242" s="4"/>
      <c r="U242" s="4"/>
      <c r="V242" s="4"/>
    </row>
    <row r="243" spans="2:22" x14ac:dyDescent="0.2">
      <c r="P243" s="13"/>
      <c r="Q243" s="4"/>
      <c r="R243" s="4"/>
      <c r="S243" s="4"/>
      <c r="T243" s="4"/>
      <c r="U243" s="4"/>
      <c r="V243" s="4"/>
    </row>
    <row r="244" spans="2:22" x14ac:dyDescent="0.2">
      <c r="P244" s="13"/>
      <c r="Q244" s="4"/>
      <c r="R244" s="4"/>
      <c r="S244" s="4"/>
      <c r="T244" s="4"/>
      <c r="U244" s="4"/>
      <c r="V244" s="4"/>
    </row>
    <row r="245" spans="2:22" x14ac:dyDescent="0.2">
      <c r="P245" s="13"/>
      <c r="Q245" s="4"/>
      <c r="R245" s="4"/>
      <c r="S245" s="4"/>
      <c r="T245" s="4"/>
      <c r="U245" s="4"/>
      <c r="V245" s="4"/>
    </row>
    <row r="246" spans="2:22" x14ac:dyDescent="0.2">
      <c r="P246" s="13"/>
      <c r="Q246" s="4"/>
      <c r="R246" s="4"/>
      <c r="S246" s="4"/>
      <c r="T246" s="4"/>
      <c r="U246" s="4"/>
      <c r="V246" s="4"/>
    </row>
    <row r="247" spans="2:22" x14ac:dyDescent="0.2">
      <c r="B247" s="125" t="s">
        <v>65</v>
      </c>
      <c r="C247" s="125"/>
      <c r="D247" s="125"/>
      <c r="E247" s="125"/>
      <c r="F247" s="125"/>
      <c r="P247" s="13"/>
      <c r="Q247" s="4"/>
      <c r="R247" s="4"/>
      <c r="S247" s="4"/>
      <c r="T247" s="4"/>
      <c r="U247" s="4"/>
      <c r="V247" s="4"/>
    </row>
    <row r="248" spans="2:22" x14ac:dyDescent="0.2">
      <c r="B248" s="125"/>
      <c r="C248" s="125"/>
      <c r="D248" s="125"/>
      <c r="E248" s="125"/>
      <c r="F248" s="125"/>
      <c r="P248" s="13"/>
      <c r="Q248" s="4"/>
      <c r="R248" s="4"/>
      <c r="S248" s="4"/>
      <c r="T248" s="4"/>
      <c r="U248" s="4"/>
      <c r="V248" s="4"/>
    </row>
    <row r="249" spans="2:22" ht="17" thickBot="1" x14ac:dyDescent="0.25">
      <c r="P249" s="13"/>
      <c r="Q249" s="4"/>
      <c r="R249" s="4"/>
      <c r="S249" s="4"/>
      <c r="T249" s="4"/>
      <c r="U249" s="4"/>
      <c r="V249" s="4"/>
    </row>
    <row r="250" spans="2:22" ht="17" thickBot="1" x14ac:dyDescent="0.25">
      <c r="B250" s="25" t="s">
        <v>3</v>
      </c>
      <c r="C250" s="26" t="s">
        <v>4</v>
      </c>
      <c r="D250" s="26" t="s">
        <v>9</v>
      </c>
      <c r="E250" s="26" t="s">
        <v>8</v>
      </c>
      <c r="F250" s="27" t="s">
        <v>7</v>
      </c>
      <c r="P250" s="13"/>
      <c r="Q250" s="4"/>
      <c r="R250" s="4"/>
      <c r="S250" s="4"/>
      <c r="T250" s="4"/>
      <c r="U250" s="4"/>
      <c r="V250" s="4"/>
    </row>
    <row r="251" spans="2:22" x14ac:dyDescent="0.2">
      <c r="B251" s="23" t="s">
        <v>16</v>
      </c>
      <c r="C251" s="13" t="s">
        <v>6</v>
      </c>
      <c r="D251" s="13">
        <v>30000</v>
      </c>
      <c r="E251" s="13"/>
      <c r="F251" s="20">
        <f t="shared" ref="F251:F258" si="11">D251</f>
        <v>30000</v>
      </c>
      <c r="P251" s="13"/>
      <c r="Q251" s="4"/>
      <c r="R251" s="4"/>
      <c r="S251" s="4"/>
      <c r="T251" s="4"/>
      <c r="U251" s="4"/>
      <c r="V251" s="4"/>
    </row>
    <row r="252" spans="2:22" x14ac:dyDescent="0.2">
      <c r="B252" s="23" t="s">
        <v>17</v>
      </c>
      <c r="C252" s="13" t="s">
        <v>6</v>
      </c>
      <c r="D252" s="13">
        <v>29500</v>
      </c>
      <c r="E252" s="13"/>
      <c r="F252" s="20">
        <f t="shared" si="11"/>
        <v>29500</v>
      </c>
      <c r="P252" s="13"/>
      <c r="Q252" s="4"/>
      <c r="R252" s="4"/>
      <c r="S252" s="4"/>
      <c r="T252" s="4"/>
      <c r="U252" s="4"/>
      <c r="V252" s="4"/>
    </row>
    <row r="253" spans="2:22" x14ac:dyDescent="0.2">
      <c r="B253" s="23" t="s">
        <v>12</v>
      </c>
      <c r="C253" s="13" t="s">
        <v>6</v>
      </c>
      <c r="D253" s="13">
        <v>500</v>
      </c>
      <c r="E253" s="13"/>
      <c r="F253" s="20">
        <f t="shared" si="11"/>
        <v>500</v>
      </c>
      <c r="P253" s="13"/>
      <c r="Q253" s="4"/>
      <c r="R253" s="4"/>
      <c r="S253" s="4"/>
      <c r="T253" s="4"/>
      <c r="U253" s="4"/>
      <c r="V253" s="4"/>
    </row>
    <row r="254" spans="2:22" x14ac:dyDescent="0.2">
      <c r="B254" s="23" t="s">
        <v>13</v>
      </c>
      <c r="C254" s="13" t="s">
        <v>6</v>
      </c>
      <c r="D254" s="13">
        <v>2000</v>
      </c>
      <c r="E254" s="13"/>
      <c r="F254" s="20">
        <f t="shared" si="11"/>
        <v>2000</v>
      </c>
      <c r="P254" s="13"/>
      <c r="Q254" s="4"/>
      <c r="R254" s="4"/>
      <c r="S254" s="4"/>
      <c r="T254" s="4"/>
      <c r="U254" s="4"/>
      <c r="V254" s="4"/>
    </row>
    <row r="255" spans="2:22" x14ac:dyDescent="0.2">
      <c r="B255" s="23" t="s">
        <v>11</v>
      </c>
      <c r="C255" s="13" t="s">
        <v>6</v>
      </c>
      <c r="D255" s="13">
        <v>7.5</v>
      </c>
      <c r="E255" s="13"/>
      <c r="F255" s="20">
        <f t="shared" si="11"/>
        <v>7.5</v>
      </c>
      <c r="P255" s="13"/>
      <c r="Q255" s="4"/>
      <c r="R255" s="4"/>
      <c r="S255" s="4"/>
      <c r="T255" s="4"/>
      <c r="U255" s="4"/>
      <c r="V255" s="4"/>
    </row>
    <row r="256" spans="2:22" x14ac:dyDescent="0.2">
      <c r="B256" s="23" t="s">
        <v>10</v>
      </c>
      <c r="C256" s="13" t="s">
        <v>6</v>
      </c>
      <c r="D256" s="13">
        <v>5</v>
      </c>
      <c r="E256" s="13"/>
      <c r="F256" s="20">
        <f t="shared" si="11"/>
        <v>5</v>
      </c>
      <c r="P256" s="13"/>
      <c r="Q256" s="4"/>
      <c r="R256" s="4"/>
      <c r="S256" s="4"/>
      <c r="T256" s="4"/>
      <c r="U256" s="4"/>
      <c r="V256" s="4"/>
    </row>
    <row r="257" spans="2:22" x14ac:dyDescent="0.2">
      <c r="B257" s="23" t="s">
        <v>18</v>
      </c>
      <c r="C257" s="13" t="s">
        <v>6</v>
      </c>
      <c r="D257" s="13">
        <v>0.44</v>
      </c>
      <c r="E257" s="13"/>
      <c r="F257" s="20">
        <f t="shared" si="11"/>
        <v>0.44</v>
      </c>
      <c r="P257" s="13"/>
      <c r="Q257" s="4"/>
      <c r="R257" s="4"/>
      <c r="S257" s="4"/>
      <c r="T257" s="4"/>
      <c r="U257" s="4"/>
      <c r="V257" s="4"/>
    </row>
    <row r="258" spans="2:22" ht="17" thickBot="1" x14ac:dyDescent="0.25">
      <c r="B258" s="24" t="s">
        <v>19</v>
      </c>
      <c r="C258" s="21" t="s">
        <v>6</v>
      </c>
      <c r="D258" s="21">
        <v>0.41</v>
      </c>
      <c r="E258" s="21"/>
      <c r="F258" s="22">
        <f t="shared" si="11"/>
        <v>0.41</v>
      </c>
      <c r="P258" s="13"/>
      <c r="Q258" s="4"/>
      <c r="R258" s="4"/>
      <c r="S258" s="4"/>
      <c r="T258" s="4"/>
      <c r="U258" s="4"/>
      <c r="V258" s="4"/>
    </row>
    <row r="259" spans="2:22" x14ac:dyDescent="0.2">
      <c r="P259" s="13"/>
      <c r="Q259" s="4"/>
      <c r="R259" s="4"/>
      <c r="S259" s="4"/>
      <c r="T259" s="4"/>
      <c r="U259" s="4"/>
      <c r="V259" s="4"/>
    </row>
    <row r="260" spans="2:22" x14ac:dyDescent="0.2">
      <c r="P260" s="13"/>
      <c r="Q260" s="4"/>
      <c r="R260" s="4"/>
      <c r="S260" s="4"/>
      <c r="T260" s="4"/>
      <c r="U260" s="4"/>
      <c r="V260" s="4"/>
    </row>
    <row r="261" spans="2:22" x14ac:dyDescent="0.2">
      <c r="P261" s="13"/>
      <c r="Q261" s="4"/>
      <c r="R261" s="4"/>
      <c r="S261" s="4"/>
      <c r="T261" s="4"/>
      <c r="U261" s="4"/>
      <c r="V261" s="4"/>
    </row>
    <row r="262" spans="2:22" x14ac:dyDescent="0.2">
      <c r="P262" s="13"/>
      <c r="Q262" s="4"/>
      <c r="R262" s="4"/>
      <c r="S262" s="4"/>
      <c r="T262" s="4"/>
      <c r="U262" s="4"/>
      <c r="V262" s="4"/>
    </row>
    <row r="263" spans="2:22" x14ac:dyDescent="0.2">
      <c r="P263" s="13"/>
      <c r="Q263" s="4"/>
      <c r="R263" s="4"/>
      <c r="S263" s="4"/>
      <c r="T263" s="4"/>
      <c r="U263" s="4"/>
      <c r="V263" s="4"/>
    </row>
    <row r="264" spans="2:22" x14ac:dyDescent="0.2">
      <c r="P264" s="13"/>
      <c r="Q264" s="4"/>
      <c r="R264" s="4"/>
      <c r="S264" s="4"/>
      <c r="T264" s="4"/>
      <c r="U264" s="4"/>
      <c r="V264" s="4"/>
    </row>
    <row r="265" spans="2:22" x14ac:dyDescent="0.2">
      <c r="P265" s="13"/>
      <c r="Q265" s="4"/>
      <c r="R265" s="4"/>
      <c r="S265" s="4"/>
      <c r="T265" s="4"/>
      <c r="U265" s="4"/>
      <c r="V265" s="4"/>
    </row>
    <row r="266" spans="2:22" x14ac:dyDescent="0.2">
      <c r="P266" s="13"/>
      <c r="Q266" s="4"/>
      <c r="R266" s="4"/>
      <c r="S266" s="4"/>
      <c r="T266" s="4"/>
      <c r="U266" s="4"/>
      <c r="V266" s="4"/>
    </row>
    <row r="267" spans="2:22" x14ac:dyDescent="0.2">
      <c r="P267" s="13"/>
      <c r="Q267" s="4"/>
      <c r="R267" s="4"/>
      <c r="S267" s="4"/>
      <c r="T267" s="4"/>
      <c r="U267" s="4"/>
      <c r="V267" s="4"/>
    </row>
    <row r="268" spans="2:22" x14ac:dyDescent="0.2">
      <c r="P268" s="13"/>
      <c r="Q268" s="4"/>
      <c r="R268" s="4"/>
      <c r="S268" s="4"/>
      <c r="T268" s="4"/>
      <c r="U268" s="4"/>
      <c r="V268" s="4"/>
    </row>
    <row r="269" spans="2:22" x14ac:dyDescent="0.2">
      <c r="P269" s="13"/>
      <c r="Q269" s="4"/>
      <c r="R269" s="4"/>
      <c r="S269" s="4"/>
      <c r="T269" s="4"/>
      <c r="U269" s="4"/>
      <c r="V269" s="4"/>
    </row>
    <row r="270" spans="2:22" x14ac:dyDescent="0.2">
      <c r="P270" s="13"/>
      <c r="Q270" s="4"/>
      <c r="R270" s="4"/>
      <c r="S270" s="4"/>
      <c r="T270" s="4"/>
      <c r="U270" s="4"/>
      <c r="V270" s="4"/>
    </row>
    <row r="271" spans="2:22" x14ac:dyDescent="0.2">
      <c r="P271" s="13"/>
      <c r="Q271" s="4"/>
      <c r="R271" s="4"/>
      <c r="S271" s="4"/>
      <c r="T271" s="4"/>
      <c r="U271" s="4"/>
      <c r="V271" s="4"/>
    </row>
    <row r="272" spans="2:22" x14ac:dyDescent="0.2">
      <c r="P272" s="13"/>
      <c r="Q272" s="4"/>
      <c r="R272" s="4"/>
      <c r="S272" s="4"/>
      <c r="T272" s="4"/>
      <c r="U272" s="4"/>
      <c r="V272" s="4"/>
    </row>
    <row r="273" spans="16:22" x14ac:dyDescent="0.2">
      <c r="P273" s="13"/>
      <c r="Q273" s="4"/>
      <c r="R273" s="4"/>
      <c r="S273" s="4"/>
      <c r="T273" s="4"/>
      <c r="U273" s="4"/>
      <c r="V273" s="4"/>
    </row>
    <row r="274" spans="16:22" x14ac:dyDescent="0.2">
      <c r="P274" s="13"/>
      <c r="Q274" s="4"/>
      <c r="R274" s="4"/>
      <c r="S274" s="4"/>
      <c r="T274" s="4"/>
      <c r="U274" s="4"/>
      <c r="V274" s="4"/>
    </row>
    <row r="275" spans="16:22" x14ac:dyDescent="0.2">
      <c r="P275" s="13"/>
      <c r="Q275" s="4"/>
      <c r="R275" s="4"/>
      <c r="S275" s="4"/>
      <c r="T275" s="4"/>
      <c r="U275" s="4"/>
      <c r="V275" s="4"/>
    </row>
    <row r="276" spans="16:22" x14ac:dyDescent="0.2">
      <c r="P276" s="13"/>
      <c r="Q276" s="4"/>
      <c r="R276" s="4"/>
      <c r="S276" s="4"/>
      <c r="T276" s="4"/>
      <c r="U276" s="4"/>
      <c r="V276" s="4"/>
    </row>
    <row r="277" spans="16:22" x14ac:dyDescent="0.2">
      <c r="P277" s="13"/>
      <c r="Q277" s="4"/>
      <c r="R277" s="4"/>
      <c r="S277" s="4"/>
      <c r="T277" s="4"/>
      <c r="U277" s="4"/>
      <c r="V277" s="4"/>
    </row>
    <row r="278" spans="16:22" x14ac:dyDescent="0.2">
      <c r="P278" s="13"/>
      <c r="Q278" s="4"/>
      <c r="R278" s="4"/>
      <c r="S278" s="4"/>
      <c r="T278" s="4"/>
      <c r="U278" s="4"/>
      <c r="V278" s="4"/>
    </row>
    <row r="279" spans="16:22" x14ac:dyDescent="0.2">
      <c r="P279" s="13"/>
      <c r="Q279" s="4"/>
      <c r="R279" s="4"/>
      <c r="S279" s="4"/>
      <c r="T279" s="4"/>
      <c r="U279" s="4"/>
      <c r="V279" s="4"/>
    </row>
    <row r="280" spans="16:22" x14ac:dyDescent="0.2">
      <c r="P280" s="13"/>
      <c r="Q280" s="4"/>
      <c r="R280" s="4"/>
      <c r="S280" s="4"/>
      <c r="T280" s="4"/>
      <c r="U280" s="4"/>
      <c r="V280" s="4"/>
    </row>
    <row r="281" spans="16:22" x14ac:dyDescent="0.2">
      <c r="P281" s="13"/>
      <c r="Q281" s="4"/>
      <c r="R281" s="4"/>
      <c r="S281" s="4"/>
      <c r="T281" s="4"/>
      <c r="U281" s="4"/>
      <c r="V281" s="4"/>
    </row>
    <row r="282" spans="16:22" x14ac:dyDescent="0.2">
      <c r="P282" s="13"/>
      <c r="Q282" s="4"/>
      <c r="R282" s="4"/>
      <c r="S282" s="4"/>
      <c r="T282" s="4"/>
      <c r="U282" s="4"/>
      <c r="V282" s="4"/>
    </row>
    <row r="283" spans="16:22" x14ac:dyDescent="0.2">
      <c r="P283" s="13"/>
      <c r="Q283" s="4"/>
      <c r="R283" s="4"/>
      <c r="S283" s="4"/>
      <c r="T283" s="4"/>
      <c r="U283" s="4"/>
      <c r="V283" s="4"/>
    </row>
    <row r="284" spans="16:22" x14ac:dyDescent="0.2">
      <c r="P284" s="13"/>
      <c r="Q284" s="4"/>
      <c r="R284" s="4"/>
      <c r="S284" s="4"/>
      <c r="T284" s="4"/>
      <c r="U284" s="4"/>
      <c r="V284" s="4"/>
    </row>
    <row r="285" spans="16:22" x14ac:dyDescent="0.2">
      <c r="P285" s="13"/>
      <c r="Q285" s="4"/>
      <c r="R285" s="4"/>
      <c r="S285" s="4"/>
      <c r="T285" s="4"/>
      <c r="U285" s="4"/>
      <c r="V285" s="4"/>
    </row>
    <row r="286" spans="16:22" x14ac:dyDescent="0.2">
      <c r="P286" s="13"/>
      <c r="Q286" s="4"/>
      <c r="R286" s="4"/>
      <c r="S286" s="4"/>
      <c r="T286" s="4"/>
      <c r="U286" s="4"/>
      <c r="V286" s="4"/>
    </row>
    <row r="287" spans="16:22" x14ac:dyDescent="0.2">
      <c r="P287" s="13"/>
      <c r="Q287" s="4"/>
      <c r="R287" s="4"/>
      <c r="S287" s="4"/>
      <c r="T287" s="4"/>
      <c r="U287" s="4"/>
      <c r="V287" s="4"/>
    </row>
    <row r="288" spans="16:22" x14ac:dyDescent="0.2">
      <c r="P288" s="13"/>
      <c r="Q288" s="4"/>
      <c r="R288" s="4"/>
      <c r="S288" s="4"/>
      <c r="T288" s="4"/>
      <c r="U288" s="4"/>
      <c r="V288" s="4"/>
    </row>
    <row r="289" spans="16:22" x14ac:dyDescent="0.2">
      <c r="P289" s="13"/>
      <c r="Q289" s="4"/>
      <c r="R289" s="4"/>
      <c r="S289" s="4"/>
      <c r="T289" s="4"/>
      <c r="U289" s="4"/>
      <c r="V289" s="4"/>
    </row>
    <row r="290" spans="16:22" x14ac:dyDescent="0.2">
      <c r="P290" s="13"/>
      <c r="Q290" s="4"/>
      <c r="R290" s="4"/>
      <c r="S290" s="4"/>
      <c r="T290" s="4"/>
      <c r="U290" s="4"/>
      <c r="V290" s="4"/>
    </row>
    <row r="291" spans="16:22" x14ac:dyDescent="0.2">
      <c r="P291" s="13"/>
      <c r="Q291" s="4"/>
      <c r="R291" s="4"/>
      <c r="S291" s="4"/>
      <c r="T291" s="4"/>
      <c r="U291" s="4"/>
      <c r="V291" s="4"/>
    </row>
    <row r="292" spans="16:22" x14ac:dyDescent="0.2">
      <c r="P292" s="13"/>
      <c r="Q292" s="4"/>
      <c r="R292" s="4"/>
      <c r="S292" s="4"/>
      <c r="T292" s="4"/>
      <c r="U292" s="4"/>
      <c r="V292" s="4"/>
    </row>
    <row r="293" spans="16:22" x14ac:dyDescent="0.2">
      <c r="P293" s="13"/>
      <c r="Q293" s="4"/>
      <c r="R293" s="4"/>
      <c r="S293" s="4"/>
      <c r="T293" s="4"/>
      <c r="U293" s="4"/>
      <c r="V293" s="4"/>
    </row>
    <row r="294" spans="16:22" x14ac:dyDescent="0.2">
      <c r="P294" s="13"/>
      <c r="Q294" s="4"/>
      <c r="R294" s="4"/>
      <c r="S294" s="4"/>
      <c r="T294" s="4"/>
      <c r="U294" s="4"/>
      <c r="V294" s="4"/>
    </row>
    <row r="295" spans="16:22" x14ac:dyDescent="0.2">
      <c r="P295" s="13"/>
      <c r="Q295" s="4"/>
      <c r="R295" s="4"/>
      <c r="S295" s="4"/>
      <c r="T295" s="4"/>
      <c r="U295" s="4"/>
      <c r="V295" s="4"/>
    </row>
    <row r="296" spans="16:22" x14ac:dyDescent="0.2">
      <c r="P296" s="13"/>
      <c r="Q296" s="4"/>
      <c r="R296" s="4"/>
      <c r="S296" s="4"/>
      <c r="T296" s="4"/>
      <c r="U296" s="4"/>
      <c r="V296" s="4"/>
    </row>
    <row r="297" spans="16:22" x14ac:dyDescent="0.2">
      <c r="P297" s="13"/>
      <c r="Q297" s="4"/>
      <c r="R297" s="4"/>
      <c r="S297" s="4"/>
      <c r="T297" s="4"/>
      <c r="U297" s="4"/>
      <c r="V297" s="4"/>
    </row>
    <row r="298" spans="16:22" x14ac:dyDescent="0.2">
      <c r="P298" s="13"/>
      <c r="Q298" s="4"/>
      <c r="R298" s="4"/>
      <c r="S298" s="4"/>
      <c r="T298" s="4"/>
      <c r="U298" s="4"/>
      <c r="V298" s="4"/>
    </row>
    <row r="299" spans="16:22" x14ac:dyDescent="0.2">
      <c r="P299" s="13"/>
      <c r="Q299" s="4"/>
      <c r="R299" s="4"/>
      <c r="S299" s="4"/>
      <c r="T299" s="4"/>
      <c r="U299" s="4"/>
      <c r="V299" s="4"/>
    </row>
    <row r="300" spans="16:22" x14ac:dyDescent="0.2">
      <c r="P300" s="13"/>
      <c r="Q300" s="4"/>
      <c r="R300" s="4"/>
      <c r="S300" s="4"/>
      <c r="T300" s="4"/>
      <c r="U300" s="4"/>
      <c r="V300" s="4"/>
    </row>
    <row r="301" spans="16:22" x14ac:dyDescent="0.2">
      <c r="P301" s="13"/>
      <c r="Q301" s="4"/>
      <c r="R301" s="4"/>
      <c r="S301" s="4"/>
      <c r="T301" s="4"/>
      <c r="U301" s="4"/>
      <c r="V301" s="4"/>
    </row>
    <row r="302" spans="16:22" x14ac:dyDescent="0.2">
      <c r="P302" s="13"/>
      <c r="Q302" s="4"/>
      <c r="R302" s="4"/>
      <c r="S302" s="4"/>
      <c r="T302" s="4"/>
      <c r="U302" s="4"/>
      <c r="V302" s="4"/>
    </row>
  </sheetData>
  <mergeCells count="14">
    <mergeCell ref="Q1:V1"/>
    <mergeCell ref="B197:F198"/>
    <mergeCell ref="B247:F248"/>
    <mergeCell ref="B2:E2"/>
    <mergeCell ref="S3:T3"/>
    <mergeCell ref="U5:V5"/>
    <mergeCell ref="U3:V3"/>
    <mergeCell ref="S4:T4"/>
    <mergeCell ref="U4:V4"/>
    <mergeCell ref="Q2:R2"/>
    <mergeCell ref="S2:T2"/>
    <mergeCell ref="U2:V2"/>
    <mergeCell ref="Q3:R3"/>
    <mergeCell ref="Q4:R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Sampling Tutorial</vt:lpstr>
      <vt:lpstr>DecisionTree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2021-05-15T17:22:16Z</dcterms:created>
  <dcterms:modified xsi:type="dcterms:W3CDTF">2021-05-19T02:05:10Z</dcterms:modified>
</cp:coreProperties>
</file>